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3\Excels\"/>
    </mc:Choice>
  </mc:AlternateContent>
  <xr:revisionPtr revIDLastSave="0" documentId="13_ncr:1_{BDEBB340-D816-458E-801E-4F2D85069E29}" xr6:coauthVersionLast="47" xr6:coauthVersionMax="47" xr10:uidLastSave="{00000000-0000-0000-0000-000000000000}"/>
  <bookViews>
    <workbookView xWindow="-120" yWindow="-120" windowWidth="29040" windowHeight="15720" xr2:uid="{B5DFA8D9-4F7C-4AFF-9769-0DB5C53111F2}"/>
  </bookViews>
  <sheets>
    <sheet name="Hoja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T12" i="1"/>
  <c r="U12" i="1"/>
  <c r="V12" i="1"/>
  <c r="S12" i="1"/>
  <c r="R12" i="1"/>
  <c r="Q12" i="1"/>
  <c r="C19" i="1"/>
  <c r="D19" i="1"/>
  <c r="E19" i="1"/>
  <c r="F19" i="1"/>
  <c r="G19" i="1"/>
  <c r="H19" i="1"/>
  <c r="B19" i="1"/>
</calcChain>
</file>

<file path=xl/sharedStrings.xml><?xml version="1.0" encoding="utf-8"?>
<sst xmlns="http://schemas.openxmlformats.org/spreadsheetml/2006/main" count="15" uniqueCount="14">
  <si>
    <t xml:space="preserve">tareas pendientes </t>
  </si>
  <si>
    <t>horas pendientes</t>
  </si>
  <si>
    <t>ACTIVIDADES</t>
  </si>
  <si>
    <t>El sistema debe generar el documento en formato PDF</t>
  </si>
  <si>
    <t xml:space="preserve">Permitir que el sistema pueda imprimir un documento de informe de asistencia </t>
  </si>
  <si>
    <t xml:space="preserve">Permitir que el sistema pueda imprimir un documento de permisos registrado </t>
  </si>
  <si>
    <t>Permitir que el sistema entrege informes de asistencias diarios</t>
  </si>
  <si>
    <t>El sistema debe cumplir con el formato del informe de asistencia (nombre, rut, turno, entrada, salida, cantidad de atrasos, inasistencia)</t>
  </si>
  <si>
    <t>Permite que el sistema pueda eliminar un permiso previamente creado</t>
  </si>
  <si>
    <t>El sistema debe eliminar el permiso que se quiere eliminar de la base de datos</t>
  </si>
  <si>
    <t>Imprimiendo informe de asistencia</t>
  </si>
  <si>
    <t>Vizualizando informe diario de asistencia</t>
  </si>
  <si>
    <t>Imprimiendo permisos</t>
  </si>
  <si>
    <t>Eliminando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</si>
</sst>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D18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1" xfId="0" applyBorder="1"/>
    <xf numFmtId="0" fontId="0" fillId="4" borderId="4" xfId="0" applyFill="1" applyBorder="1"/>
    <xf numFmtId="0" fontId="0" fillId="5" borderId="1" xfId="0" applyFill="1" applyBorder="1"/>
    <xf numFmtId="0" fontId="0" fillId="4" borderId="4" xfId="0" applyFill="1" applyBorder="1" applyAlignment="1">
      <alignment horizontal="left" vertical="center"/>
    </xf>
    <xf numFmtId="0" fontId="0" fillId="2" borderId="4" xfId="0" applyFill="1" applyBorder="1"/>
    <xf numFmtId="0" fontId="0" fillId="2" borderId="4" xfId="0" applyFill="1" applyBorder="1" applyAlignment="1">
      <alignment horizontal="left" vertical="center"/>
    </xf>
    <xf numFmtId="0" fontId="0" fillId="0" borderId="5" xfId="0" applyBorder="1"/>
    <xf numFmtId="0" fontId="0" fillId="2" borderId="7" xfId="0" applyFill="1" applyBorder="1"/>
    <xf numFmtId="1" fontId="0" fillId="2" borderId="6" xfId="0" applyNumberFormat="1" applyFill="1" applyBorder="1"/>
    <xf numFmtId="0" fontId="0" fillId="0" borderId="5" xfId="0" applyBorder="1" applyAlignment="1">
      <alignment wrapText="1"/>
    </xf>
    <xf numFmtId="0" fontId="1" fillId="4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Hoja1!$AA$63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Hoja1!$AB$63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6-4E22-A7CC-2B0DFD51C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101728"/>
        <c:axId val="332109888"/>
      </c:lineChart>
      <c:catAx>
        <c:axId val="33210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32109888"/>
        <c:crosses val="autoZero"/>
        <c:auto val="1"/>
        <c:lblAlgn val="ctr"/>
        <c:lblOffset val="100"/>
        <c:noMultiLvlLbl val="0"/>
      </c:catAx>
      <c:valAx>
        <c:axId val="3321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321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Burn-Down INCREMENTO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2.1465780049729859E-2"/>
          <c:y val="7.216874238830992E-2"/>
          <c:w val="0.96417524443167735"/>
          <c:h val="0.83833854223562032"/>
        </c:manualLayout>
      </c:layout>
      <c:lineChart>
        <c:grouping val="stacked"/>
        <c:varyColors val="0"/>
        <c:ser>
          <c:idx val="0"/>
          <c:order val="0"/>
          <c:tx>
            <c:v>Esfuerzo Real Acumulado HH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0256411084709905E-3"/>
                  <c:y val="1.55661887060253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FB-4149-A7B4-EDD71E14F7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Hoja1!$Q$11:$X$11</c:f>
              <c:numCache>
                <c:formatCode>General</c:formatCode>
                <c:ptCount val="8"/>
                <c:pt idx="0">
                  <c:v>16</c:v>
                </c:pt>
                <c:pt idx="1">
                  <c:v>16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149-A7B4-EDD71E14F7B8}"/>
            </c:ext>
          </c:extLst>
        </c:ser>
        <c:ser>
          <c:idx val="1"/>
          <c:order val="1"/>
          <c:tx>
            <c:v>Esfuerzo Estimado Acumulado HH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7.179487759296407E-3"/>
                  <c:y val="-5.0590113294582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FB-4149-A7B4-EDD71E14F7B8}"/>
                </c:ext>
              </c:extLst>
            </c:dLbl>
            <c:dLbl>
              <c:idx val="4"/>
              <c:layout>
                <c:manualLayout>
                  <c:x val="2.0512822169417556E-3"/>
                  <c:y val="-3.5023924588557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FB-4149-A7B4-EDD71E14F7B8}"/>
                </c:ext>
              </c:extLst>
            </c:dLbl>
            <c:dLbl>
              <c:idx val="5"/>
              <c:layout>
                <c:manualLayout>
                  <c:x val="0"/>
                  <c:y val="-2.3349283059038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FB-4149-A7B4-EDD71E14F7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Hoja1!$Q$12:$X$12</c:f>
              <c:numCache>
                <c:formatCode>General</c:formatCode>
                <c:ptCount val="8"/>
                <c:pt idx="0">
                  <c:v>19</c:v>
                </c:pt>
                <c:pt idx="1">
                  <c:v>19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B-4149-A7B4-EDD71E14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153136"/>
        <c:axId val="1201136816"/>
      </c:lineChart>
      <c:catAx>
        <c:axId val="12011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1136816"/>
        <c:crosses val="autoZero"/>
        <c:auto val="1"/>
        <c:lblAlgn val="ctr"/>
        <c:lblOffset val="100"/>
        <c:noMultiLvlLbl val="0"/>
      </c:catAx>
      <c:valAx>
        <c:axId val="12011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115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43753833535540765"/>
          <c:y val="7.193524955771953E-2"/>
          <c:w val="0.52287199861675737"/>
          <c:h val="0.12039497058894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burn-UP</a:t>
            </a:r>
            <a:r>
              <a:rPr lang="es-CL" baseline="0"/>
              <a:t> INCREMENTO 3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2.5851720211867664E-2"/>
          <c:y val="0.11928192182595976"/>
          <c:w val="0.9546905448993106"/>
          <c:h val="0.81654662101675213"/>
        </c:manualLayout>
      </c:layout>
      <c:lineChart>
        <c:grouping val="standard"/>
        <c:varyColors val="0"/>
        <c:ser>
          <c:idx val="0"/>
          <c:order val="0"/>
          <c:tx>
            <c:v>Esfuerzo Real Acumulado HH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Hoja1!$AF$11:$AM$11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1-4381-919A-FEA2A1C73447}"/>
            </c:ext>
          </c:extLst>
        </c:ser>
        <c:ser>
          <c:idx val="1"/>
          <c:order val="1"/>
          <c:tx>
            <c:v>Esfuerzo Estimado Acumulado HH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Hoja1!$AF$12:$AM$12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19</c:v>
                </c:pt>
                <c:pt idx="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1-4381-919A-FEA2A1C7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16320"/>
        <c:axId val="328833120"/>
      </c:lineChart>
      <c:catAx>
        <c:axId val="3288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8833120"/>
        <c:crosses val="autoZero"/>
        <c:auto val="1"/>
        <c:lblAlgn val="ctr"/>
        <c:lblOffset val="100"/>
        <c:noMultiLvlLbl val="0"/>
      </c:catAx>
      <c:valAx>
        <c:axId val="32883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88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134287</xdr:colOff>
      <xdr:row>23</xdr:row>
      <xdr:rowOff>150838</xdr:rowOff>
    </xdr:from>
    <xdr:to>
      <xdr:col>25</xdr:col>
      <xdr:colOff>396615</xdr:colOff>
      <xdr:row>38</xdr:row>
      <xdr:rowOff>83382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9A43C4-76F9-5EE4-89BC-06FC0647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390370</xdr:colOff>
      <xdr:row>15</xdr:row>
      <xdr:rowOff>140533</xdr:rowOff>
    </xdr:from>
    <xdr:to>
      <xdr:col>28</xdr:col>
      <xdr:colOff>562131</xdr:colOff>
      <xdr:row>50</xdr:row>
      <xdr:rowOff>109304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EEE447-38D8-D4A8-8DE6-34CED69AA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515286</xdr:colOff>
      <xdr:row>18</xdr:row>
      <xdr:rowOff>0</xdr:rowOff>
    </xdr:from>
    <xdr:to>
      <xdr:col>45</xdr:col>
      <xdr:colOff>15614</xdr:colOff>
      <xdr:row>52</xdr:row>
      <xdr:rowOff>15614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E4061E-D4E1-F28F-218B-D23D14F8C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dan\OneDrive\Documentos\GitHub\ING-DE-SOFTWARE\INCREMENTO3\Excels\Backlog%20sprint%20-%20Sprint%20backlog%20-%20Sprint%20Review.xlsx" TargetMode="External"/><Relationship Id="rId1" Type="http://schemas.openxmlformats.org/officeDocument/2006/relationships/externalLinkPath" Target="Backlog%20sprint%20-%20Sprint%20backlog%20-%20Sprint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AL6">
            <v>2</v>
          </cell>
        </row>
        <row r="7">
          <cell r="AL7">
            <v>3</v>
          </cell>
        </row>
        <row r="9">
          <cell r="AL9">
            <v>3</v>
          </cell>
        </row>
        <row r="10">
          <cell r="AL10">
            <v>2</v>
          </cell>
        </row>
        <row r="12">
          <cell r="AL12">
            <v>2</v>
          </cell>
        </row>
        <row r="13">
          <cell r="AL13">
            <v>2</v>
          </cell>
        </row>
        <row r="15">
          <cell r="AL15">
            <v>3</v>
          </cell>
        </row>
        <row r="16">
          <cell r="AL16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0A99-216B-4C42-A18C-D73C10A53F41}">
  <dimension ref="A1:AM19"/>
  <sheetViews>
    <sheetView tabSelected="1" zoomScale="61" zoomScaleNormal="58" workbookViewId="0">
      <selection activeCell="AP11" sqref="AP11"/>
    </sheetView>
  </sheetViews>
  <sheetFormatPr baseColWidth="10" defaultColWidth="10.7109375" defaultRowHeight="15" x14ac:dyDescent="0.25"/>
  <cols>
    <col min="1" max="1" width="144.42578125" customWidth="1"/>
  </cols>
  <sheetData>
    <row r="1" spans="1:39" x14ac:dyDescent="0.25">
      <c r="B1" s="1">
        <v>45946</v>
      </c>
      <c r="C1" s="1">
        <v>45947</v>
      </c>
      <c r="D1" s="1">
        <v>45948</v>
      </c>
      <c r="E1" s="1">
        <v>45949</v>
      </c>
      <c r="F1" s="1">
        <v>45950</v>
      </c>
      <c r="G1" s="1">
        <v>45951</v>
      </c>
      <c r="H1" s="1">
        <v>45952</v>
      </c>
      <c r="I1" s="1">
        <v>45953</v>
      </c>
    </row>
    <row r="2" spans="1:39" x14ac:dyDescent="0.25">
      <c r="A2" s="3" t="s">
        <v>0</v>
      </c>
      <c r="B2" s="4">
        <v>8</v>
      </c>
      <c r="C2" s="2">
        <v>8</v>
      </c>
      <c r="D2" s="2">
        <v>6</v>
      </c>
      <c r="E2" s="2">
        <v>6</v>
      </c>
      <c r="F2" s="2">
        <v>6</v>
      </c>
      <c r="G2" s="2">
        <v>6</v>
      </c>
      <c r="H2" s="2">
        <v>4</v>
      </c>
      <c r="I2" s="2">
        <v>0</v>
      </c>
    </row>
    <row r="3" spans="1:39" x14ac:dyDescent="0.25">
      <c r="A3" s="3" t="s">
        <v>1</v>
      </c>
      <c r="B3" s="14">
        <v>16</v>
      </c>
      <c r="C3" s="15">
        <v>16</v>
      </c>
      <c r="D3" s="15">
        <v>12</v>
      </c>
      <c r="E3" s="15">
        <v>12</v>
      </c>
      <c r="F3" s="15">
        <v>12</v>
      </c>
      <c r="G3" s="15">
        <v>12</v>
      </c>
      <c r="H3" s="15">
        <v>9</v>
      </c>
      <c r="I3" s="15">
        <v>0</v>
      </c>
    </row>
    <row r="4" spans="1:39" x14ac:dyDescent="0.25">
      <c r="B4" s="13"/>
      <c r="C4" s="13"/>
      <c r="D4" s="13"/>
      <c r="E4" s="13"/>
      <c r="F4" s="13"/>
      <c r="G4" s="13"/>
      <c r="H4" s="13"/>
      <c r="I4" s="13"/>
    </row>
    <row r="5" spans="1:39" x14ac:dyDescent="0.25">
      <c r="B5" s="5"/>
    </row>
    <row r="6" spans="1:39" x14ac:dyDescent="0.25">
      <c r="A6" s="6" t="s">
        <v>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</row>
    <row r="7" spans="1:39" x14ac:dyDescent="0.25">
      <c r="A7" s="8" t="s">
        <v>10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</row>
    <row r="8" spans="1:39" x14ac:dyDescent="0.25">
      <c r="A8" s="13" t="s">
        <v>5</v>
      </c>
      <c r="B8" s="9">
        <v>2</v>
      </c>
      <c r="C8" s="9">
        <v>2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</row>
    <row r="9" spans="1:39" x14ac:dyDescent="0.25">
      <c r="A9" s="13" t="s">
        <v>3</v>
      </c>
      <c r="B9" s="9">
        <v>2</v>
      </c>
      <c r="C9" s="9">
        <v>2</v>
      </c>
      <c r="D9" s="7"/>
      <c r="E9" s="7"/>
      <c r="F9" s="7"/>
      <c r="G9" s="7"/>
      <c r="H9" s="7">
        <v>0</v>
      </c>
      <c r="I9" s="7">
        <v>0</v>
      </c>
    </row>
    <row r="10" spans="1:39" x14ac:dyDescent="0.25">
      <c r="A10" s="10" t="s">
        <v>11</v>
      </c>
      <c r="B10" s="9"/>
      <c r="C10" s="9"/>
      <c r="D10" s="9"/>
      <c r="E10" s="9"/>
      <c r="F10" s="9"/>
      <c r="G10" s="9"/>
      <c r="H10" s="7">
        <v>0</v>
      </c>
      <c r="I10" s="7">
        <v>0</v>
      </c>
    </row>
    <row r="11" spans="1:39" x14ac:dyDescent="0.25">
      <c r="A11" s="11" t="s">
        <v>6</v>
      </c>
      <c r="B11" s="9">
        <v>2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  <c r="H11" s="7">
        <v>0</v>
      </c>
      <c r="I11" s="7">
        <v>0</v>
      </c>
      <c r="Q11">
        <v>16</v>
      </c>
      <c r="R11">
        <v>16</v>
      </c>
      <c r="S11">
        <v>12</v>
      </c>
      <c r="T11">
        <v>12</v>
      </c>
      <c r="U11">
        <v>12</v>
      </c>
      <c r="V11">
        <v>12</v>
      </c>
      <c r="W11">
        <v>9</v>
      </c>
      <c r="X11">
        <v>0</v>
      </c>
      <c r="AF11">
        <v>0</v>
      </c>
      <c r="AG11">
        <v>9</v>
      </c>
      <c r="AH11">
        <v>12</v>
      </c>
      <c r="AI11">
        <v>12</v>
      </c>
      <c r="AJ11">
        <v>12</v>
      </c>
      <c r="AK11">
        <v>12</v>
      </c>
      <c r="AL11">
        <v>16</v>
      </c>
      <c r="AM11">
        <v>16</v>
      </c>
    </row>
    <row r="12" spans="1:39" x14ac:dyDescent="0.25">
      <c r="A12" s="16" t="s">
        <v>7</v>
      </c>
      <c r="B12" s="9">
        <v>2</v>
      </c>
      <c r="C12" s="9">
        <v>2</v>
      </c>
      <c r="D12" s="9">
        <v>2</v>
      </c>
      <c r="E12" s="9">
        <v>2</v>
      </c>
      <c r="F12" s="9">
        <v>2</v>
      </c>
      <c r="G12" s="9">
        <v>2</v>
      </c>
      <c r="H12" s="7">
        <v>0</v>
      </c>
      <c r="I12" s="7">
        <v>0</v>
      </c>
      <c r="Q12">
        <f>SUM([1]Sheet1!$AL$6:$AL$16)</f>
        <v>19</v>
      </c>
      <c r="R12">
        <f>SUM([1]Sheet1!$AL$6:$AL$16)</f>
        <v>19</v>
      </c>
      <c r="S12">
        <f>19-5</f>
        <v>14</v>
      </c>
      <c r="T12">
        <f t="shared" ref="T12:V12" si="0">19-5</f>
        <v>14</v>
      </c>
      <c r="U12">
        <f t="shared" si="0"/>
        <v>14</v>
      </c>
      <c r="V12">
        <f t="shared" si="0"/>
        <v>14</v>
      </c>
      <c r="W12">
        <f>V12-5</f>
        <v>9</v>
      </c>
      <c r="X12">
        <v>0</v>
      </c>
      <c r="AF12">
        <v>0</v>
      </c>
      <c r="AG12">
        <v>9</v>
      </c>
      <c r="AH12">
        <v>14</v>
      </c>
      <c r="AI12">
        <v>14</v>
      </c>
      <c r="AJ12">
        <v>14</v>
      </c>
      <c r="AK12">
        <v>14</v>
      </c>
      <c r="AL12">
        <v>19</v>
      </c>
      <c r="AM12">
        <v>19</v>
      </c>
    </row>
    <row r="13" spans="1:39" x14ac:dyDescent="0.25">
      <c r="A13" s="10" t="s">
        <v>12</v>
      </c>
      <c r="B13" s="9"/>
      <c r="C13" s="9"/>
      <c r="D13" s="9"/>
      <c r="E13" s="9"/>
      <c r="F13" s="9"/>
      <c r="G13" s="9"/>
      <c r="H13" s="9"/>
      <c r="I13" s="7">
        <v>0</v>
      </c>
    </row>
    <row r="14" spans="1:39" x14ac:dyDescent="0.25">
      <c r="A14" s="13" t="s">
        <v>4</v>
      </c>
      <c r="B14" s="9">
        <v>2</v>
      </c>
      <c r="C14" s="9">
        <v>2</v>
      </c>
      <c r="D14" s="9">
        <v>2</v>
      </c>
      <c r="E14" s="9">
        <v>2</v>
      </c>
      <c r="F14" s="9">
        <v>2</v>
      </c>
      <c r="G14" s="9">
        <v>2</v>
      </c>
      <c r="H14" s="9">
        <v>2</v>
      </c>
      <c r="I14" s="7">
        <v>0</v>
      </c>
    </row>
    <row r="15" spans="1:39" x14ac:dyDescent="0.25">
      <c r="A15" s="13" t="s">
        <v>3</v>
      </c>
      <c r="B15" s="9">
        <v>2</v>
      </c>
      <c r="C15" s="9">
        <v>2</v>
      </c>
      <c r="D15" s="9">
        <v>2</v>
      </c>
      <c r="E15" s="9">
        <v>2</v>
      </c>
      <c r="F15" s="9">
        <v>2</v>
      </c>
      <c r="G15" s="9">
        <v>2</v>
      </c>
      <c r="H15" s="9">
        <v>2</v>
      </c>
      <c r="I15" s="7">
        <v>0</v>
      </c>
    </row>
    <row r="16" spans="1:39" x14ac:dyDescent="0.25">
      <c r="A16" s="10" t="s">
        <v>13</v>
      </c>
      <c r="B16" s="9"/>
      <c r="C16" s="9"/>
      <c r="D16" s="9"/>
      <c r="E16" s="9"/>
      <c r="F16" s="9"/>
      <c r="G16" s="9"/>
      <c r="H16" s="9"/>
      <c r="I16" s="7">
        <v>0</v>
      </c>
    </row>
    <row r="17" spans="1:9" x14ac:dyDescent="0.25">
      <c r="A17" s="12" t="s">
        <v>8</v>
      </c>
      <c r="B17" s="9">
        <v>2</v>
      </c>
      <c r="C17" s="9">
        <v>2</v>
      </c>
      <c r="D17" s="9">
        <v>2</v>
      </c>
      <c r="E17" s="9">
        <v>2</v>
      </c>
      <c r="F17" s="9">
        <v>2</v>
      </c>
      <c r="G17" s="9">
        <v>2</v>
      </c>
      <c r="H17" s="9">
        <v>3</v>
      </c>
      <c r="I17" s="7">
        <v>0</v>
      </c>
    </row>
    <row r="18" spans="1:9" x14ac:dyDescent="0.25">
      <c r="A18" s="13" t="s">
        <v>9</v>
      </c>
      <c r="B18" s="9">
        <v>2</v>
      </c>
      <c r="C18" s="9">
        <v>2</v>
      </c>
      <c r="D18" s="9">
        <v>2</v>
      </c>
      <c r="E18" s="9">
        <v>2</v>
      </c>
      <c r="F18" s="9">
        <v>2</v>
      </c>
      <c r="G18" s="9">
        <v>2</v>
      </c>
      <c r="H18" s="9">
        <v>2</v>
      </c>
      <c r="I18" s="7">
        <v>0</v>
      </c>
    </row>
    <row r="19" spans="1:9" x14ac:dyDescent="0.25">
      <c r="A19" s="17"/>
      <c r="B19" s="9">
        <f>SUM(B8:B18)</f>
        <v>16</v>
      </c>
      <c r="C19" s="9">
        <f t="shared" ref="C19:H19" si="1">SUM(C8:C18)</f>
        <v>16</v>
      </c>
      <c r="D19" s="9">
        <f t="shared" si="1"/>
        <v>12</v>
      </c>
      <c r="E19" s="9">
        <f t="shared" si="1"/>
        <v>12</v>
      </c>
      <c r="F19" s="9">
        <f t="shared" si="1"/>
        <v>12</v>
      </c>
      <c r="G19" s="9">
        <f t="shared" si="1"/>
        <v>12</v>
      </c>
      <c r="H19" s="9">
        <f t="shared" si="1"/>
        <v>9</v>
      </c>
      <c r="I19" s="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Uribe Delpino</dc:creator>
  <cp:lastModifiedBy>Addan saez</cp:lastModifiedBy>
  <dcterms:created xsi:type="dcterms:W3CDTF">2025-09-29T22:30:36Z</dcterms:created>
  <dcterms:modified xsi:type="dcterms:W3CDTF">2025-10-26T22:41:25Z</dcterms:modified>
</cp:coreProperties>
</file>