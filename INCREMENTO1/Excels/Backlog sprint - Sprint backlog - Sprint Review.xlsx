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12"/>
  <workbookPr/>
  <xr:revisionPtr revIDLastSave="0" documentId="8_{E4BA7C82-7069-459C-B33B-36BC643AFDA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69" i="1" l="1"/>
  <c r="AA69" i="1"/>
  <c r="AA70" i="1"/>
  <c r="AA71" i="1" s="1"/>
  <c r="AA72" i="1" s="1"/>
  <c r="AA73" i="1" s="1"/>
  <c r="AA74" i="1" s="1"/>
  <c r="AA75" i="1" s="1"/>
  <c r="AA76" i="1" s="1"/>
  <c r="AA77" i="1" s="1"/>
  <c r="AA78" i="1" s="1"/>
  <c r="AA79" i="1" s="1"/>
  <c r="AA80" i="1" s="1"/>
  <c r="AA81" i="1" s="1"/>
  <c r="AA82" i="1" s="1"/>
  <c r="AA83" i="1" s="1"/>
  <c r="AA84" i="1" s="1"/>
  <c r="AA85" i="1" s="1"/>
  <c r="AA86" i="1" s="1"/>
  <c r="AA87" i="1" s="1"/>
  <c r="AA88" i="1" s="1"/>
  <c r="AA89" i="1" s="1"/>
  <c r="AA90" i="1" s="1"/>
  <c r="AA91" i="1" s="1"/>
  <c r="AA92" i="1" s="1"/>
  <c r="AA93" i="1" s="1"/>
  <c r="AA94" i="1" s="1"/>
  <c r="AA95" i="1" s="1"/>
  <c r="AA96" i="1" s="1"/>
  <c r="AA97" i="1" s="1"/>
  <c r="AA98" i="1" s="1"/>
  <c r="AA99" i="1" s="1"/>
  <c r="AA100" i="1" s="1"/>
  <c r="AA101" i="1" s="1"/>
  <c r="AA102" i="1" s="1"/>
  <c r="AA103" i="1" s="1"/>
  <c r="AA104" i="1" s="1"/>
  <c r="AA105" i="1" s="1"/>
  <c r="AA106" i="1" s="1"/>
  <c r="AA107" i="1" s="1"/>
  <c r="AA108" i="1" s="1"/>
  <c r="AA109" i="1" s="1"/>
  <c r="AA110" i="1" s="1"/>
  <c r="AA111" i="1" s="1"/>
  <c r="AA112" i="1" s="1"/>
  <c r="AA113" i="1" s="1"/>
  <c r="AA114" i="1" s="1"/>
  <c r="Z70" i="1"/>
  <c r="Z71" i="1" s="1"/>
  <c r="Z72" i="1" s="1"/>
  <c r="Z73" i="1" s="1"/>
  <c r="Z74" i="1" s="1"/>
  <c r="Z75" i="1" s="1"/>
</calcChain>
</file>

<file path=xl/sharedStrings.xml><?xml version="1.0" encoding="utf-8"?>
<sst xmlns="http://schemas.openxmlformats.org/spreadsheetml/2006/main" count="784" uniqueCount="126">
  <si>
    <t>PILA DEL PRODUCTO</t>
  </si>
  <si>
    <t>OBJETIVO DEL SPRINT</t>
  </si>
  <si>
    <t>Estimado</t>
  </si>
  <si>
    <t>Caso de Uso</t>
  </si>
  <si>
    <t>Actividades</t>
  </si>
  <si>
    <t>Responsable</t>
  </si>
  <si>
    <t>Estimar HH</t>
  </si>
  <si>
    <t>Estado</t>
  </si>
  <si>
    <t>Inicio</t>
  </si>
  <si>
    <t>Fin</t>
  </si>
  <si>
    <t>CU</t>
  </si>
  <si>
    <t>Sprint</t>
  </si>
  <si>
    <t>Diseñar y crear la tabla de los turnos  y dentro de ella una tabla que es una pestaña de asignacion de turnos</t>
  </si>
  <si>
    <t>Diego</t>
  </si>
  <si>
    <t>En proceso</t>
  </si>
  <si>
    <t>Diseñar la tabla de los turnos en el menu desplegable , donde dentro de ella se crea la tabla asignacion de turnos con su respectiva pestaña para interactuar en ella.</t>
  </si>
  <si>
    <t>30/5/2025</t>
  </si>
  <si>
    <t>31/5/2025</t>
  </si>
  <si>
    <t>Sprint 2</t>
  </si>
  <si>
    <t>Importar la informacion de los empleados y turnos de la base de datos</t>
  </si>
  <si>
    <t>Asegurar que los datos existentes de empleados y turnos sean accesibles y estén cargados en el sistema</t>
  </si>
  <si>
    <t>Diseñar una lista con los empleados registrados y sus turnos</t>
  </si>
  <si>
    <t>Vicente</t>
  </si>
  <si>
    <t>Crear una vista clara y funcional para visualizar los empleados y sus turnos asignados.</t>
  </si>
  <si>
    <t>Diseñar y crear la vista  de la pestaña de los departamentos de la empresa</t>
  </si>
  <si>
    <t>Addan</t>
  </si>
  <si>
    <t>Tener la interfaz de usuario para ver y gestionar los departamentos.</t>
  </si>
  <si>
    <t>Importar la informacion de los departamentos desde la base de datos</t>
  </si>
  <si>
    <t>Cargar los datos de los departamentos en la aplicación desde la base de datos.</t>
  </si>
  <si>
    <t>Sprint 4</t>
  </si>
  <si>
    <t>Mostrar la lista con los departamentos de la empresa</t>
  </si>
  <si>
    <t>Felipe</t>
  </si>
  <si>
    <t>Permitir la visualización completa de todos los departamentos registrados.</t>
  </si>
  <si>
    <t>Diseñar y crear la vista de la seccion de los permisos</t>
  </si>
  <si>
    <t>Desarrollar la interfaz para la gestión y visualización de permisos.</t>
  </si>
  <si>
    <t>diseñar una lista con todos los motivos de permisos</t>
  </si>
  <si>
    <t>Crear una vista que muestre todos los tipos o motivos de permisos disponibles.</t>
  </si>
  <si>
    <t>Importar la informacion de los motivos de permiso desde la base de datos</t>
  </si>
  <si>
    <t>Catalina</t>
  </si>
  <si>
    <t>Integrar los datos de los motivos de permiso desde la base de datos en la aplicación.</t>
  </si>
  <si>
    <t>Sprint 5</t>
  </si>
  <si>
    <t>Diseñar y crear la vista de los tipo de contrato</t>
  </si>
  <si>
    <t>Benjamin</t>
  </si>
  <si>
    <t>Tener la interfaz para ver y gestionar los diferentes tipos de contratos.</t>
  </si>
  <si>
    <t>Importar la informacion de los tipos de contrato desde la base de datos</t>
  </si>
  <si>
    <t>Cargar los datos de los tipos de contrato desde la base de datos a la aplicación.</t>
  </si>
  <si>
    <t>diseñar una lista con todos los contratos registrados de la empresa</t>
  </si>
  <si>
    <t>Crear una vista para listar y consultar todos los contratos existentes.</t>
  </si>
  <si>
    <t>Diseñar y crear la vista de las vacaciones</t>
  </si>
  <si>
    <t>Desarrollar la interfaz de usuario para la gestión y visualización de vacaciones.</t>
  </si>
  <si>
    <t>Importar la informacio de las vacaciones desde la base de datos</t>
  </si>
  <si>
    <t>Proporcionar una vista que enumere los diferentes tipos de vacaciones.</t>
  </si>
  <si>
    <t xml:space="preserve">Mostrar la lista con todos los tipos de vacaciones </t>
  </si>
  <si>
    <t>Diseñar y crear la vista de la pestaña de sucursales</t>
  </si>
  <si>
    <t>Tener la interfaz de usuario para la gestión y visualización de sucursales.</t>
  </si>
  <si>
    <t>Implementar conexion con la base de datos de la empresa para extraer las sucursales</t>
  </si>
  <si>
    <t>Establecer la conectividad para obtener los datos de las sucursales.</t>
  </si>
  <si>
    <t>Sprint 3</t>
  </si>
  <si>
    <t>Diseñar una  lista con las sucursales con sus datos</t>
  </si>
  <si>
    <t>Crear una vista detallada de todas las sucursales registradas.</t>
  </si>
  <si>
    <t>Diseñar la pestaña de centros de costos</t>
  </si>
  <si>
    <t>Crear la interfaz de usuario para la sección de centros de costos.</t>
  </si>
  <si>
    <t>felipe</t>
  </si>
  <si>
    <t>Extraer de la base de datos los centros de costos de la empresa</t>
  </si>
  <si>
    <t>Cargar los datos de los centros de costos desde la base de datos.</t>
  </si>
  <si>
    <t>Diseñar una lista con los centros de costos de la empresa</t>
  </si>
  <si>
    <t>Permitir la visualización de todos los centros de costos de la empresa.</t>
  </si>
  <si>
    <t>Diseñar y crear la vista de la pestaña de la fichas de empleados</t>
  </si>
  <si>
    <t>Desarrollar la interfaz para ver y gestionar las fichas individuales de los empleados.</t>
  </si>
  <si>
    <t>Implementar conexion con la base de datos de la empresa para extraer los empleados</t>
  </si>
  <si>
    <t>Establecer la conectividad para obtener todos los datos de los empleados.</t>
  </si>
  <si>
    <t xml:space="preserve">Diseñar una lista con las fichas de los empleados registrados </t>
  </si>
  <si>
    <t>Crear una vista que muestre todas las fichas de los empleados.</t>
  </si>
  <si>
    <t>Diseñar y crear la vista ingreso de empleado</t>
  </si>
  <si>
    <t>Desarrollar la interfaz para ingresar nuevos empleados.</t>
  </si>
  <si>
    <t>Crear boton  y diseño de formulario para ingreso de nuevo empleado</t>
  </si>
  <si>
    <t>Tener los elementos de interfaz necesarios para iniciar el proceso de registro de un nuevo empleado.</t>
  </si>
  <si>
    <t>Conexion de la base de datos para registrar la informacion de empleado</t>
  </si>
  <si>
    <t>Habilitar la persistencia de los datos del nuevo empleado en la base de datos.</t>
  </si>
  <si>
    <t>Validar que el empleado no este registrado en la base de datos</t>
  </si>
  <si>
    <t>Implementar la lógica para prevenir duplicados en el registro de empleados.</t>
  </si>
  <si>
    <t>Crear y diseñar la pestaña Listado de empleados</t>
  </si>
  <si>
    <t>Desarrollar la interfaz para una visión general de todos los empleados.</t>
  </si>
  <si>
    <t>13/6/2025</t>
  </si>
  <si>
    <t xml:space="preserve">Importar de la base de datos los empleados registrados </t>
  </si>
  <si>
    <t>Cargar la lista completa de empleados desde la base de datos.</t>
  </si>
  <si>
    <t>Diseñar una lista que refleje la informacion respectiva de los empleados</t>
  </si>
  <si>
    <t>Crear una vista clara y detallada de la información de cada empleado en el listado.</t>
  </si>
  <si>
    <t>Diseñar y crear la vista de la pestaña de Listado de turnos</t>
  </si>
  <si>
    <t>Desarrollar la interfaz para visualizar los permisos que han sido aprobados.</t>
  </si>
  <si>
    <t>14/6/2025</t>
  </si>
  <si>
    <t>Importar de la base de datos los turnos registrados</t>
  </si>
  <si>
    <t>Cargar todos los datos de permisos desde la base de datos.</t>
  </si>
  <si>
    <t>Sprint 1</t>
  </si>
  <si>
    <t>Diseñar una lista con todos los turnos creados</t>
  </si>
  <si>
    <t>Crear una vista que muestre solo los permisos que han sido aprobados, con la información relevante.</t>
  </si>
  <si>
    <t>Diseñar y crear la pestaña de permisos aprobados</t>
  </si>
  <si>
    <t>Importar de la base de datos los permisos registrados</t>
  </si>
  <si>
    <t>Diseñar una lista con datos especificos con todos los permisos aprobados</t>
  </si>
  <si>
    <t>Crear una vista que muestre solo los permisos aprobados, con la información relevante.</t>
  </si>
  <si>
    <t>Diseñar el login de la pagina y menu principal desplegable</t>
  </si>
  <si>
    <t>Crear la interfaz de usuario para el acceso y la navegación principal de la aplicación.</t>
  </si>
  <si>
    <t>29/5/2025</t>
  </si>
  <si>
    <t>30/6/2025</t>
  </si>
  <si>
    <t>Validar credenciales de inicio de sesion con la base de datos</t>
  </si>
  <si>
    <t>Implementar la autenticación de usuarios contra la base de datos.</t>
  </si>
  <si>
    <t xml:space="preserve">Direccionar al menu principal </t>
  </si>
  <si>
    <t>Asegurar que el usuario sea redirigido correctamente después de un inicio de sesión exitoso.</t>
  </si>
  <si>
    <t>Diseñar el boton de cierre de sesion en el menu desplegable</t>
  </si>
  <si>
    <t>Crear la interfaz para que el usuario pueda cerrar su sesión</t>
  </si>
  <si>
    <t xml:space="preserve">Diseñar ventana pop up que nos pregunte si estamos seguros de realizar esta acción </t>
  </si>
  <si>
    <t>Proporcionar una confirmación de seguridad antes de cerrar la sesió</t>
  </si>
  <si>
    <t xml:space="preserve">Redirecionar al login para volver a iniciar sesion  </t>
  </si>
  <si>
    <t>Asegurar que el usuario regrese a la página de inicio de sesión tras cerrar la sesión.</t>
  </si>
  <si>
    <t>Diseñar una imagen dentro del menu desplegable que permita volver al menu principal</t>
  </si>
  <si>
    <t>Crear un elemento visual para la navegación rápida de regreso al menú principal.</t>
  </si>
  <si>
    <t>Vincular el boton de volver al menu principal con el logo del menu desplegable</t>
  </si>
  <si>
    <t>Conectar la funcionalidad de volver al menú principal con el elemento gráfico del logo.</t>
  </si>
  <si>
    <t xml:space="preserve">Redirecionar al menu principal </t>
  </si>
  <si>
    <t>Garantizar que el clic en el logo o botón asociado lleve al usuario de vuelta al menú principal.</t>
  </si>
  <si>
    <t>Real</t>
  </si>
  <si>
    <t>Proyecto</t>
  </si>
  <si>
    <t>HH Efectivas</t>
  </si>
  <si>
    <t>real</t>
  </si>
  <si>
    <t>estimada</t>
  </si>
  <si>
    <t>Terminado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</si>
</sst>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sz val="11"/>
      <color rgb="FF0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8" borderId="1" xfId="0" applyFill="1" applyBorder="1" applyAlignment="1">
      <alignment vertical="center"/>
    </xf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2" fontId="0" fillId="0" borderId="1" xfId="0" applyNumberFormat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7" borderId="1" xfId="0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0" borderId="5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2" fontId="0" fillId="0" borderId="4" xfId="0" applyNumberFormat="1" applyBorder="1" applyAlignment="1">
      <alignment horizontal="left" vertical="center"/>
    </xf>
    <xf numFmtId="2" fontId="0" fillId="0" borderId="3" xfId="0" applyNumberFormat="1" applyBorder="1" applyAlignment="1">
      <alignment horizontal="left" vertical="center"/>
    </xf>
    <xf numFmtId="2" fontId="0" fillId="0" borderId="2" xfId="0" applyNumberFormat="1" applyBorder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6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I2:AK177"/>
  <sheetViews>
    <sheetView tabSelected="1" topLeftCell="A62" workbookViewId="0">
      <selection activeCell="M69" sqref="M69:M114"/>
    </sheetView>
  </sheetViews>
  <sheetFormatPr defaultRowHeight="15"/>
  <cols>
    <col min="8" max="8" width="8.42578125" customWidth="1"/>
    <col min="9" max="9" width="12.140625" customWidth="1"/>
    <col min="10" max="10" width="73.5703125" customWidth="1"/>
    <col min="11" max="11" width="12.7109375" customWidth="1"/>
    <col min="12" max="12" width="10.7109375" customWidth="1"/>
    <col min="13" max="13" width="11.140625" customWidth="1"/>
    <col min="14" max="18" width="9.140625" bestFit="1" customWidth="1"/>
    <col min="19" max="19" width="26.5703125" customWidth="1"/>
    <col min="20" max="20" width="10.28515625" customWidth="1"/>
    <col min="21" max="21" width="12.140625" customWidth="1"/>
    <col min="22" max="22" width="11.140625" customWidth="1"/>
    <col min="23" max="23" width="10.5703125" customWidth="1"/>
    <col min="24" max="24" width="9.140625" bestFit="1" customWidth="1"/>
    <col min="26" max="26" width="9.140625" bestFit="1" customWidth="1"/>
    <col min="16373" max="16373" width="9.140625" bestFit="1" customWidth="1"/>
  </cols>
  <sheetData>
    <row r="2" spans="9:37" ht="18" customHeight="1">
      <c r="I2" s="58" t="s">
        <v>0</v>
      </c>
      <c r="J2" s="59"/>
      <c r="K2" s="59"/>
      <c r="L2" s="59"/>
      <c r="M2" s="60"/>
      <c r="N2" s="52" t="s">
        <v>1</v>
      </c>
      <c r="O2" s="53"/>
      <c r="P2" s="53"/>
      <c r="Q2" s="53"/>
      <c r="R2" s="53"/>
      <c r="S2" s="54"/>
      <c r="T2" s="50" t="s">
        <v>2</v>
      </c>
      <c r="U2" s="51"/>
      <c r="X2" s="14"/>
      <c r="Y2" s="14"/>
      <c r="Z2" s="14"/>
      <c r="AA2" s="14"/>
      <c r="AB2" s="14"/>
      <c r="AC2" s="14"/>
      <c r="AD2" s="23" t="s">
        <v>1</v>
      </c>
      <c r="AE2" s="23"/>
      <c r="AF2" s="23"/>
      <c r="AG2" s="23"/>
      <c r="AH2" s="23"/>
      <c r="AI2" s="23"/>
      <c r="AJ2" s="24" t="s">
        <v>2</v>
      </c>
      <c r="AK2" s="24"/>
    </row>
    <row r="3" spans="9:37" ht="18" customHeight="1">
      <c r="I3" s="1" t="s">
        <v>3</v>
      </c>
      <c r="J3" s="1" t="s">
        <v>4</v>
      </c>
      <c r="K3" s="3" t="s">
        <v>5</v>
      </c>
      <c r="L3" s="1" t="s">
        <v>6</v>
      </c>
      <c r="M3" s="1" t="s">
        <v>7</v>
      </c>
      <c r="N3" s="55"/>
      <c r="O3" s="56"/>
      <c r="P3" s="56"/>
      <c r="Q3" s="56"/>
      <c r="R3" s="56"/>
      <c r="S3" s="57"/>
      <c r="T3" s="4" t="s">
        <v>8</v>
      </c>
      <c r="U3" s="4" t="s">
        <v>9</v>
      </c>
      <c r="X3" s="1" t="s">
        <v>10</v>
      </c>
      <c r="Y3" s="1" t="s">
        <v>11</v>
      </c>
      <c r="Z3" s="1" t="s">
        <v>4</v>
      </c>
      <c r="AA3" s="3" t="s">
        <v>5</v>
      </c>
      <c r="AB3" s="1" t="s">
        <v>6</v>
      </c>
      <c r="AC3" s="1" t="s">
        <v>7</v>
      </c>
      <c r="AD3" s="23"/>
      <c r="AE3" s="23"/>
      <c r="AF3" s="23"/>
      <c r="AG3" s="23"/>
      <c r="AH3" s="23"/>
      <c r="AI3" s="23"/>
      <c r="AJ3" s="4" t="s">
        <v>8</v>
      </c>
      <c r="AK3" s="4" t="s">
        <v>9</v>
      </c>
    </row>
    <row r="4" spans="9:37" ht="60.75" customHeight="1">
      <c r="I4" s="38">
        <v>1.1000000000000001</v>
      </c>
      <c r="J4" s="8" t="s">
        <v>12</v>
      </c>
      <c r="K4" s="5" t="s">
        <v>13</v>
      </c>
      <c r="L4" s="5">
        <v>4</v>
      </c>
      <c r="M4" s="5" t="s">
        <v>14</v>
      </c>
      <c r="N4" s="47" t="s">
        <v>15</v>
      </c>
      <c r="O4" s="48"/>
      <c r="P4" s="48"/>
      <c r="Q4" s="48"/>
      <c r="R4" s="48"/>
      <c r="S4" s="49"/>
      <c r="T4" s="7" t="s">
        <v>16</v>
      </c>
      <c r="U4" s="7" t="s">
        <v>17</v>
      </c>
      <c r="X4" s="17">
        <v>1.1000000000000001</v>
      </c>
      <c r="Y4" s="25" t="s">
        <v>18</v>
      </c>
      <c r="Z4" s="8" t="s">
        <v>12</v>
      </c>
      <c r="AA4" s="5" t="s">
        <v>13</v>
      </c>
      <c r="AB4" s="5">
        <v>4</v>
      </c>
      <c r="AC4" s="5" t="s">
        <v>14</v>
      </c>
      <c r="AD4" s="26" t="s">
        <v>15</v>
      </c>
      <c r="AE4" s="26"/>
      <c r="AF4" s="26"/>
      <c r="AG4" s="26"/>
      <c r="AH4" s="26"/>
      <c r="AI4" s="26"/>
      <c r="AJ4" s="7" t="s">
        <v>16</v>
      </c>
      <c r="AK4" s="7" t="s">
        <v>17</v>
      </c>
    </row>
    <row r="5" spans="9:37" ht="35.25" customHeight="1">
      <c r="I5" s="39"/>
      <c r="J5" s="6" t="s">
        <v>19</v>
      </c>
      <c r="K5" s="5" t="s">
        <v>13</v>
      </c>
      <c r="L5" s="5">
        <v>2</v>
      </c>
      <c r="M5" s="5" t="s">
        <v>14</v>
      </c>
      <c r="N5" s="35" t="s">
        <v>20</v>
      </c>
      <c r="O5" s="36"/>
      <c r="P5" s="36"/>
      <c r="Q5" s="36"/>
      <c r="R5" s="36"/>
      <c r="S5" s="37"/>
      <c r="T5" s="7" t="s">
        <v>16</v>
      </c>
      <c r="U5" s="7" t="s">
        <v>17</v>
      </c>
      <c r="X5" s="17"/>
      <c r="Y5" s="25"/>
      <c r="Z5" s="6" t="s">
        <v>19</v>
      </c>
      <c r="AA5" s="5" t="s">
        <v>13</v>
      </c>
      <c r="AB5" s="5">
        <v>2</v>
      </c>
      <c r="AC5" s="5" t="s">
        <v>14</v>
      </c>
      <c r="AD5" s="20" t="s">
        <v>20</v>
      </c>
      <c r="AE5" s="20"/>
      <c r="AF5" s="20"/>
      <c r="AG5" s="20"/>
      <c r="AH5" s="20"/>
      <c r="AI5" s="20"/>
      <c r="AJ5" s="7" t="s">
        <v>16</v>
      </c>
      <c r="AK5" s="7" t="s">
        <v>17</v>
      </c>
    </row>
    <row r="6" spans="9:37" ht="33" customHeight="1">
      <c r="I6" s="40"/>
      <c r="J6" s="5" t="s">
        <v>21</v>
      </c>
      <c r="K6" s="5" t="s">
        <v>22</v>
      </c>
      <c r="L6" s="5">
        <v>2</v>
      </c>
      <c r="M6" s="5" t="s">
        <v>14</v>
      </c>
      <c r="N6" s="35" t="s">
        <v>23</v>
      </c>
      <c r="O6" s="36"/>
      <c r="P6" s="36"/>
      <c r="Q6" s="36"/>
      <c r="R6" s="36"/>
      <c r="S6" s="37"/>
      <c r="T6" s="7" t="s">
        <v>16</v>
      </c>
      <c r="U6" s="7" t="s">
        <v>17</v>
      </c>
      <c r="X6" s="17"/>
      <c r="Y6" s="25"/>
      <c r="Z6" s="5" t="s">
        <v>21</v>
      </c>
      <c r="AA6" s="5" t="s">
        <v>22</v>
      </c>
      <c r="AB6" s="5">
        <v>2</v>
      </c>
      <c r="AC6" s="5" t="s">
        <v>14</v>
      </c>
      <c r="AD6" s="20" t="s">
        <v>23</v>
      </c>
      <c r="AE6" s="20"/>
      <c r="AF6" s="20"/>
      <c r="AG6" s="20"/>
      <c r="AH6" s="20"/>
      <c r="AI6" s="20"/>
      <c r="AJ6" s="7" t="s">
        <v>16</v>
      </c>
      <c r="AK6" s="7" t="s">
        <v>17</v>
      </c>
    </row>
    <row r="7" spans="9:37" ht="33" customHeight="1">
      <c r="I7" s="38">
        <v>1.4</v>
      </c>
      <c r="J7" s="5" t="s">
        <v>24</v>
      </c>
      <c r="K7" s="5" t="s">
        <v>25</v>
      </c>
      <c r="L7" s="5">
        <v>4</v>
      </c>
      <c r="M7" s="5" t="s">
        <v>14</v>
      </c>
      <c r="N7" s="35" t="s">
        <v>26</v>
      </c>
      <c r="O7" s="36"/>
      <c r="P7" s="36"/>
      <c r="Q7" s="36"/>
      <c r="R7" s="36"/>
      <c r="S7" s="37"/>
      <c r="T7" s="7" t="s">
        <v>16</v>
      </c>
      <c r="U7" s="7" t="s">
        <v>17</v>
      </c>
      <c r="X7" s="10"/>
      <c r="Y7" s="13"/>
      <c r="Z7" s="5"/>
      <c r="AA7" s="5"/>
      <c r="AB7" s="5"/>
      <c r="AC7" s="5"/>
      <c r="AD7" s="20"/>
      <c r="AE7" s="20"/>
      <c r="AF7" s="20"/>
      <c r="AG7" s="20"/>
      <c r="AH7" s="20"/>
      <c r="AI7" s="20"/>
      <c r="AJ7" s="5"/>
      <c r="AK7" s="5"/>
    </row>
    <row r="8" spans="9:37" ht="18" customHeight="1">
      <c r="I8" s="39"/>
      <c r="J8" s="6" t="s">
        <v>27</v>
      </c>
      <c r="K8" s="5" t="s">
        <v>25</v>
      </c>
      <c r="L8" s="5">
        <v>2</v>
      </c>
      <c r="M8" s="5" t="s">
        <v>14</v>
      </c>
      <c r="N8" s="35" t="s">
        <v>28</v>
      </c>
      <c r="O8" s="36"/>
      <c r="P8" s="36"/>
      <c r="Q8" s="36"/>
      <c r="R8" s="36"/>
      <c r="S8" s="37"/>
      <c r="T8" s="7" t="s">
        <v>16</v>
      </c>
      <c r="U8" s="7" t="s">
        <v>17</v>
      </c>
      <c r="X8" s="18">
        <v>1.4</v>
      </c>
      <c r="Y8" s="19" t="s">
        <v>29</v>
      </c>
      <c r="Z8" s="5" t="s">
        <v>24</v>
      </c>
      <c r="AA8" s="5" t="s">
        <v>25</v>
      </c>
      <c r="AB8" s="5">
        <v>4</v>
      </c>
      <c r="AC8" s="5" t="s">
        <v>14</v>
      </c>
      <c r="AD8" s="20" t="s">
        <v>26</v>
      </c>
      <c r="AE8" s="20"/>
      <c r="AF8" s="20"/>
      <c r="AG8" s="20"/>
      <c r="AH8" s="20"/>
      <c r="AI8" s="20"/>
      <c r="AJ8" s="7" t="s">
        <v>16</v>
      </c>
      <c r="AK8" s="7" t="s">
        <v>17</v>
      </c>
    </row>
    <row r="9" spans="9:37" ht="18" customHeight="1">
      <c r="I9" s="40"/>
      <c r="J9" s="5" t="s">
        <v>30</v>
      </c>
      <c r="K9" s="5" t="s">
        <v>31</v>
      </c>
      <c r="L9" s="5">
        <v>1</v>
      </c>
      <c r="M9" s="5" t="s">
        <v>14</v>
      </c>
      <c r="N9" s="35" t="s">
        <v>32</v>
      </c>
      <c r="O9" s="36"/>
      <c r="P9" s="36"/>
      <c r="Q9" s="36"/>
      <c r="R9" s="36"/>
      <c r="S9" s="37"/>
      <c r="T9" s="7" t="s">
        <v>16</v>
      </c>
      <c r="U9" s="7" t="s">
        <v>17</v>
      </c>
      <c r="X9" s="18"/>
      <c r="Y9" s="19"/>
      <c r="Z9" s="6" t="s">
        <v>27</v>
      </c>
      <c r="AA9" s="5" t="s">
        <v>25</v>
      </c>
      <c r="AB9" s="5">
        <v>2</v>
      </c>
      <c r="AC9" s="5" t="s">
        <v>14</v>
      </c>
      <c r="AD9" s="20" t="s">
        <v>28</v>
      </c>
      <c r="AE9" s="20"/>
      <c r="AF9" s="20"/>
      <c r="AG9" s="20"/>
      <c r="AH9" s="20"/>
      <c r="AI9" s="20"/>
      <c r="AJ9" s="7" t="s">
        <v>16</v>
      </c>
      <c r="AK9" s="7" t="s">
        <v>17</v>
      </c>
    </row>
    <row r="10" spans="9:37" ht="18" customHeight="1">
      <c r="I10" s="38">
        <v>1.7</v>
      </c>
      <c r="J10" s="5" t="s">
        <v>33</v>
      </c>
      <c r="K10" s="5" t="s">
        <v>31</v>
      </c>
      <c r="L10" s="5">
        <v>4</v>
      </c>
      <c r="M10" s="5" t="s">
        <v>14</v>
      </c>
      <c r="N10" s="35" t="s">
        <v>34</v>
      </c>
      <c r="O10" s="36"/>
      <c r="P10" s="36"/>
      <c r="Q10" s="36"/>
      <c r="R10" s="36"/>
      <c r="S10" s="37"/>
      <c r="T10" s="7">
        <v>45663</v>
      </c>
      <c r="U10" s="7">
        <v>45663</v>
      </c>
      <c r="X10" s="18"/>
      <c r="Y10" s="19"/>
      <c r="Z10" s="5" t="s">
        <v>30</v>
      </c>
      <c r="AA10" s="5" t="s">
        <v>31</v>
      </c>
      <c r="AB10" s="5">
        <v>1</v>
      </c>
      <c r="AC10" s="5" t="s">
        <v>14</v>
      </c>
      <c r="AD10" s="20" t="s">
        <v>32</v>
      </c>
      <c r="AE10" s="20"/>
      <c r="AF10" s="20"/>
      <c r="AG10" s="20"/>
      <c r="AH10" s="20"/>
      <c r="AI10" s="20"/>
      <c r="AJ10" s="7" t="s">
        <v>16</v>
      </c>
      <c r="AK10" s="7" t="s">
        <v>17</v>
      </c>
    </row>
    <row r="11" spans="9:37" ht="18" customHeight="1">
      <c r="I11" s="39"/>
      <c r="J11" s="5" t="s">
        <v>35</v>
      </c>
      <c r="K11" s="5" t="s">
        <v>31</v>
      </c>
      <c r="L11" s="5">
        <v>1</v>
      </c>
      <c r="M11" s="5" t="s">
        <v>14</v>
      </c>
      <c r="N11" s="35" t="s">
        <v>36</v>
      </c>
      <c r="O11" s="36"/>
      <c r="P11" s="36"/>
      <c r="Q11" s="36"/>
      <c r="R11" s="36"/>
      <c r="S11" s="37"/>
      <c r="T11" s="7">
        <v>45663</v>
      </c>
      <c r="U11" s="7">
        <v>45663</v>
      </c>
      <c r="X11" s="10"/>
      <c r="Y11" s="13"/>
      <c r="Z11" s="5"/>
      <c r="AA11" s="5"/>
      <c r="AB11" s="5"/>
      <c r="AC11" s="5"/>
      <c r="AD11" s="20"/>
      <c r="AE11" s="20"/>
      <c r="AF11" s="20"/>
      <c r="AG11" s="20"/>
      <c r="AH11" s="20"/>
      <c r="AI11" s="20"/>
      <c r="AJ11" s="5"/>
      <c r="AK11" s="5"/>
    </row>
    <row r="12" spans="9:37" ht="18" customHeight="1">
      <c r="I12" s="40"/>
      <c r="J12" s="6" t="s">
        <v>37</v>
      </c>
      <c r="K12" s="5" t="s">
        <v>38</v>
      </c>
      <c r="L12" s="5">
        <v>2</v>
      </c>
      <c r="M12" s="5" t="s">
        <v>14</v>
      </c>
      <c r="N12" s="35" t="s">
        <v>39</v>
      </c>
      <c r="O12" s="36"/>
      <c r="P12" s="36"/>
      <c r="Q12" s="36"/>
      <c r="R12" s="36"/>
      <c r="S12" s="37"/>
      <c r="T12" s="7">
        <v>45663</v>
      </c>
      <c r="U12" s="7">
        <v>45663</v>
      </c>
      <c r="X12" s="21">
        <v>1.7</v>
      </c>
      <c r="Y12" s="22" t="s">
        <v>40</v>
      </c>
      <c r="Z12" s="5" t="s">
        <v>33</v>
      </c>
      <c r="AA12" s="5" t="s">
        <v>31</v>
      </c>
      <c r="AB12" s="5">
        <v>4</v>
      </c>
      <c r="AC12" s="5" t="s">
        <v>14</v>
      </c>
      <c r="AD12" s="20" t="s">
        <v>34</v>
      </c>
      <c r="AE12" s="20"/>
      <c r="AF12" s="20"/>
      <c r="AG12" s="20"/>
      <c r="AH12" s="20"/>
      <c r="AI12" s="20"/>
      <c r="AJ12" s="7">
        <v>45663</v>
      </c>
      <c r="AK12" s="7">
        <v>45663</v>
      </c>
    </row>
    <row r="13" spans="9:37" ht="18" customHeight="1">
      <c r="I13" s="44">
        <v>1.1000000000000001</v>
      </c>
      <c r="J13" s="5" t="s">
        <v>41</v>
      </c>
      <c r="K13" s="5" t="s">
        <v>42</v>
      </c>
      <c r="L13" s="5">
        <v>4</v>
      </c>
      <c r="M13" s="5" t="s">
        <v>14</v>
      </c>
      <c r="N13" s="35" t="s">
        <v>43</v>
      </c>
      <c r="O13" s="36"/>
      <c r="P13" s="36"/>
      <c r="Q13" s="36"/>
      <c r="R13" s="36"/>
      <c r="S13" s="37"/>
      <c r="T13" s="7">
        <v>45663</v>
      </c>
      <c r="U13" s="7">
        <v>45694</v>
      </c>
      <c r="X13" s="21"/>
      <c r="Y13" s="22"/>
      <c r="Z13" s="5" t="s">
        <v>35</v>
      </c>
      <c r="AA13" s="5" t="s">
        <v>31</v>
      </c>
      <c r="AB13" s="5">
        <v>1</v>
      </c>
      <c r="AC13" s="5" t="s">
        <v>14</v>
      </c>
      <c r="AD13" s="20" t="s">
        <v>36</v>
      </c>
      <c r="AE13" s="20"/>
      <c r="AF13" s="20"/>
      <c r="AG13" s="20"/>
      <c r="AH13" s="20"/>
      <c r="AI13" s="20"/>
      <c r="AJ13" s="7">
        <v>45663</v>
      </c>
      <c r="AK13" s="7">
        <v>45663</v>
      </c>
    </row>
    <row r="14" spans="9:37" ht="15" customHeight="1">
      <c r="I14" s="45"/>
      <c r="J14" s="6" t="s">
        <v>44</v>
      </c>
      <c r="K14" s="5" t="s">
        <v>42</v>
      </c>
      <c r="L14" s="5">
        <v>1</v>
      </c>
      <c r="M14" s="5" t="s">
        <v>14</v>
      </c>
      <c r="N14" s="35" t="s">
        <v>45</v>
      </c>
      <c r="O14" s="36"/>
      <c r="P14" s="36"/>
      <c r="Q14" s="36"/>
      <c r="R14" s="36"/>
      <c r="S14" s="37"/>
      <c r="T14" s="7">
        <v>45663</v>
      </c>
      <c r="U14" s="7">
        <v>45694</v>
      </c>
      <c r="X14" s="21"/>
      <c r="Y14" s="22"/>
      <c r="Z14" s="6" t="s">
        <v>37</v>
      </c>
      <c r="AA14" s="5" t="s">
        <v>38</v>
      </c>
      <c r="AB14" s="5">
        <v>2</v>
      </c>
      <c r="AC14" s="5" t="s">
        <v>14</v>
      </c>
      <c r="AD14" s="20" t="s">
        <v>39</v>
      </c>
      <c r="AE14" s="20"/>
      <c r="AF14" s="20"/>
      <c r="AG14" s="20"/>
      <c r="AH14" s="20"/>
      <c r="AI14" s="20"/>
      <c r="AJ14" s="7">
        <v>45663</v>
      </c>
      <c r="AK14" s="7">
        <v>45663</v>
      </c>
    </row>
    <row r="15" spans="9:37" ht="15" customHeight="1">
      <c r="I15" s="46"/>
      <c r="J15" s="5" t="s">
        <v>46</v>
      </c>
      <c r="K15" s="5" t="s">
        <v>22</v>
      </c>
      <c r="L15" s="5">
        <v>4</v>
      </c>
      <c r="M15" s="5" t="s">
        <v>14</v>
      </c>
      <c r="N15" s="35" t="s">
        <v>47</v>
      </c>
      <c r="O15" s="36"/>
      <c r="P15" s="36"/>
      <c r="Q15" s="36"/>
      <c r="R15" s="36"/>
      <c r="S15" s="37"/>
      <c r="T15" s="7">
        <v>45663</v>
      </c>
      <c r="U15" s="7">
        <v>45694</v>
      </c>
      <c r="X15" s="11"/>
      <c r="Y15" s="13"/>
      <c r="Z15" s="5"/>
      <c r="AA15" s="5"/>
      <c r="AB15" s="5"/>
      <c r="AC15" s="5"/>
      <c r="AD15" s="20"/>
      <c r="AE15" s="20"/>
      <c r="AF15" s="20"/>
      <c r="AG15" s="20"/>
      <c r="AH15" s="20"/>
      <c r="AI15" s="20"/>
      <c r="AJ15" s="5"/>
      <c r="AK15" s="5"/>
    </row>
    <row r="16" spans="9:37" ht="15" customHeight="1">
      <c r="I16" s="38">
        <v>1.1299999999999999</v>
      </c>
      <c r="J16" s="5" t="s">
        <v>48</v>
      </c>
      <c r="K16" s="5" t="s">
        <v>13</v>
      </c>
      <c r="L16" s="5">
        <v>4</v>
      </c>
      <c r="M16" s="5" t="s">
        <v>14</v>
      </c>
      <c r="N16" s="35" t="s">
        <v>49</v>
      </c>
      <c r="O16" s="36"/>
      <c r="P16" s="36"/>
      <c r="Q16" s="36"/>
      <c r="R16" s="36"/>
      <c r="S16" s="37"/>
      <c r="T16" s="7">
        <v>45722</v>
      </c>
      <c r="U16" s="7">
        <v>45722</v>
      </c>
      <c r="X16" s="18">
        <v>1.1000000000000001</v>
      </c>
      <c r="Y16" s="22" t="s">
        <v>40</v>
      </c>
      <c r="Z16" s="5" t="s">
        <v>41</v>
      </c>
      <c r="AA16" s="5" t="s">
        <v>42</v>
      </c>
      <c r="AB16" s="5">
        <v>4</v>
      </c>
      <c r="AC16" s="5" t="s">
        <v>14</v>
      </c>
      <c r="AD16" s="20" t="s">
        <v>43</v>
      </c>
      <c r="AE16" s="20"/>
      <c r="AF16" s="20"/>
      <c r="AG16" s="20"/>
      <c r="AH16" s="20"/>
      <c r="AI16" s="20"/>
      <c r="AJ16" s="7">
        <v>45663</v>
      </c>
      <c r="AK16" s="7">
        <v>45694</v>
      </c>
    </row>
    <row r="17" spans="9:37" ht="15" customHeight="1">
      <c r="I17" s="39"/>
      <c r="J17" s="5" t="s">
        <v>50</v>
      </c>
      <c r="K17" s="5" t="s">
        <v>31</v>
      </c>
      <c r="L17" s="5">
        <v>2</v>
      </c>
      <c r="M17" s="5" t="s">
        <v>14</v>
      </c>
      <c r="N17" s="35" t="s">
        <v>51</v>
      </c>
      <c r="O17" s="36"/>
      <c r="P17" s="36"/>
      <c r="Q17" s="36"/>
      <c r="R17" s="36"/>
      <c r="S17" s="37"/>
      <c r="T17" s="7">
        <v>45722</v>
      </c>
      <c r="U17" s="7">
        <v>45722</v>
      </c>
      <c r="X17" s="18"/>
      <c r="Y17" s="22"/>
      <c r="Z17" s="6" t="s">
        <v>44</v>
      </c>
      <c r="AA17" s="5" t="s">
        <v>42</v>
      </c>
      <c r="AB17" s="5">
        <v>1</v>
      </c>
      <c r="AC17" s="5" t="s">
        <v>14</v>
      </c>
      <c r="AD17" s="20" t="s">
        <v>45</v>
      </c>
      <c r="AE17" s="20"/>
      <c r="AF17" s="20"/>
      <c r="AG17" s="20"/>
      <c r="AH17" s="20"/>
      <c r="AI17" s="20"/>
      <c r="AJ17" s="7">
        <v>45663</v>
      </c>
      <c r="AK17" s="7">
        <v>45694</v>
      </c>
    </row>
    <row r="18" spans="9:37" ht="15" customHeight="1">
      <c r="I18" s="40"/>
      <c r="J18" s="5" t="s">
        <v>52</v>
      </c>
      <c r="K18" s="5" t="s">
        <v>31</v>
      </c>
      <c r="L18" s="5">
        <v>1</v>
      </c>
      <c r="M18" s="5" t="s">
        <v>14</v>
      </c>
      <c r="N18" s="35" t="s">
        <v>51</v>
      </c>
      <c r="O18" s="36"/>
      <c r="P18" s="36"/>
      <c r="Q18" s="36"/>
      <c r="R18" s="36"/>
      <c r="S18" s="37"/>
      <c r="T18" s="7">
        <v>45722</v>
      </c>
      <c r="U18" s="7">
        <v>45722</v>
      </c>
      <c r="X18" s="11"/>
      <c r="Y18" s="22"/>
      <c r="Z18" s="5" t="s">
        <v>46</v>
      </c>
      <c r="AA18" s="5" t="s">
        <v>22</v>
      </c>
      <c r="AB18" s="5">
        <v>4</v>
      </c>
      <c r="AC18" s="5" t="s">
        <v>14</v>
      </c>
      <c r="AD18" s="20" t="s">
        <v>47</v>
      </c>
      <c r="AE18" s="20"/>
      <c r="AF18" s="20"/>
      <c r="AG18" s="20"/>
      <c r="AH18" s="20"/>
      <c r="AI18" s="20"/>
      <c r="AJ18" s="7">
        <v>45663</v>
      </c>
      <c r="AK18" s="7">
        <v>45694</v>
      </c>
    </row>
    <row r="19" spans="9:37" ht="15" customHeight="1">
      <c r="I19" s="41">
        <v>1.1599999999999999</v>
      </c>
      <c r="J19" s="5" t="s">
        <v>53</v>
      </c>
      <c r="K19" s="5" t="s">
        <v>38</v>
      </c>
      <c r="L19" s="5">
        <v>4</v>
      </c>
      <c r="M19" s="5" t="s">
        <v>14</v>
      </c>
      <c r="N19" s="35" t="s">
        <v>54</v>
      </c>
      <c r="O19" s="36"/>
      <c r="P19" s="36"/>
      <c r="Q19" s="36"/>
      <c r="R19" s="36"/>
      <c r="S19" s="37"/>
      <c r="T19" s="7">
        <v>45722</v>
      </c>
      <c r="U19" s="7">
        <v>45783</v>
      </c>
      <c r="X19" s="11"/>
      <c r="Y19" s="13"/>
      <c r="Z19" s="5"/>
      <c r="AA19" s="5"/>
      <c r="AB19" s="5"/>
      <c r="AC19" s="5"/>
      <c r="AD19" s="20"/>
      <c r="AE19" s="20"/>
      <c r="AF19" s="20"/>
      <c r="AG19" s="20"/>
      <c r="AH19" s="20"/>
      <c r="AI19" s="20"/>
      <c r="AJ19" s="5"/>
      <c r="AK19" s="5"/>
    </row>
    <row r="20" spans="9:37" ht="15" customHeight="1">
      <c r="I20" s="42"/>
      <c r="J20" s="6" t="s">
        <v>55</v>
      </c>
      <c r="K20" s="5" t="s">
        <v>38</v>
      </c>
      <c r="L20" s="5">
        <v>2</v>
      </c>
      <c r="M20" s="5" t="s">
        <v>14</v>
      </c>
      <c r="N20" s="35" t="s">
        <v>56</v>
      </c>
      <c r="O20" s="36"/>
      <c r="P20" s="36"/>
      <c r="Q20" s="36"/>
      <c r="R20" s="36"/>
      <c r="S20" s="37"/>
      <c r="T20" s="7">
        <v>45753</v>
      </c>
      <c r="U20" s="7">
        <v>45783</v>
      </c>
      <c r="X20" s="18">
        <v>1.1299999999999999</v>
      </c>
      <c r="Y20" s="27" t="s">
        <v>57</v>
      </c>
      <c r="Z20" s="5" t="s">
        <v>48</v>
      </c>
      <c r="AA20" s="5" t="s">
        <v>13</v>
      </c>
      <c r="AB20" s="5">
        <v>4</v>
      </c>
      <c r="AC20" s="5" t="s">
        <v>14</v>
      </c>
      <c r="AD20" s="20" t="s">
        <v>49</v>
      </c>
      <c r="AE20" s="20"/>
      <c r="AF20" s="20"/>
      <c r="AG20" s="20"/>
      <c r="AH20" s="20"/>
      <c r="AI20" s="20"/>
      <c r="AJ20" s="7">
        <v>45722</v>
      </c>
      <c r="AK20" s="7">
        <v>45722</v>
      </c>
    </row>
    <row r="21" spans="9:37" ht="15" customHeight="1">
      <c r="I21" s="43"/>
      <c r="J21" s="5" t="s">
        <v>58</v>
      </c>
      <c r="K21" s="5" t="s">
        <v>25</v>
      </c>
      <c r="L21" s="5">
        <v>4</v>
      </c>
      <c r="M21" s="5" t="s">
        <v>14</v>
      </c>
      <c r="N21" s="35" t="s">
        <v>59</v>
      </c>
      <c r="O21" s="36"/>
      <c r="P21" s="36"/>
      <c r="Q21" s="36"/>
      <c r="R21" s="36"/>
      <c r="S21" s="37"/>
      <c r="T21" s="7">
        <v>45753</v>
      </c>
      <c r="U21" s="7">
        <v>45783</v>
      </c>
      <c r="X21" s="18"/>
      <c r="Y21" s="27"/>
      <c r="Z21" s="5" t="s">
        <v>50</v>
      </c>
      <c r="AA21" s="5" t="s">
        <v>31</v>
      </c>
      <c r="AB21" s="5">
        <v>2</v>
      </c>
      <c r="AC21" s="5" t="s">
        <v>14</v>
      </c>
      <c r="AD21" s="20" t="s">
        <v>51</v>
      </c>
      <c r="AE21" s="20"/>
      <c r="AF21" s="20"/>
      <c r="AG21" s="20"/>
      <c r="AH21" s="20"/>
      <c r="AI21" s="20"/>
      <c r="AJ21" s="7">
        <v>45722</v>
      </c>
      <c r="AK21" s="7">
        <v>45722</v>
      </c>
    </row>
    <row r="22" spans="9:37" ht="15" customHeight="1">
      <c r="I22" s="38">
        <v>1.19</v>
      </c>
      <c r="J22" s="5" t="s">
        <v>60</v>
      </c>
      <c r="K22" s="5" t="s">
        <v>22</v>
      </c>
      <c r="L22" s="5">
        <v>4</v>
      </c>
      <c r="M22" s="5" t="s">
        <v>14</v>
      </c>
      <c r="N22" s="35" t="s">
        <v>61</v>
      </c>
      <c r="O22" s="36"/>
      <c r="P22" s="36"/>
      <c r="Q22" s="36"/>
      <c r="R22" s="36"/>
      <c r="S22" s="37"/>
      <c r="T22" s="7">
        <v>45814</v>
      </c>
      <c r="U22" s="7">
        <v>45844</v>
      </c>
      <c r="X22" s="18"/>
      <c r="Y22" s="27"/>
      <c r="Z22" s="5" t="s">
        <v>52</v>
      </c>
      <c r="AA22" s="5" t="s">
        <v>62</v>
      </c>
      <c r="AB22" s="5">
        <v>1</v>
      </c>
      <c r="AC22" s="5" t="s">
        <v>14</v>
      </c>
      <c r="AD22" s="20" t="s">
        <v>51</v>
      </c>
      <c r="AE22" s="20"/>
      <c r="AF22" s="20"/>
      <c r="AG22" s="20"/>
      <c r="AH22" s="20"/>
      <c r="AI22" s="20"/>
      <c r="AJ22" s="7">
        <v>45722</v>
      </c>
      <c r="AK22" s="7">
        <v>45722</v>
      </c>
    </row>
    <row r="23" spans="9:37" ht="15" customHeight="1">
      <c r="I23" s="39"/>
      <c r="J23" s="5" t="s">
        <v>63</v>
      </c>
      <c r="K23" s="5" t="s">
        <v>22</v>
      </c>
      <c r="L23" s="5">
        <v>1</v>
      </c>
      <c r="M23" s="5" t="s">
        <v>14</v>
      </c>
      <c r="N23" s="35" t="s">
        <v>64</v>
      </c>
      <c r="O23" s="36"/>
      <c r="P23" s="36"/>
      <c r="Q23" s="36"/>
      <c r="R23" s="36"/>
      <c r="S23" s="37"/>
      <c r="T23" s="7">
        <v>45814</v>
      </c>
      <c r="U23" s="7">
        <v>45844</v>
      </c>
      <c r="X23" s="11"/>
      <c r="Y23" s="13"/>
      <c r="Z23" s="5"/>
      <c r="AA23" s="5"/>
      <c r="AB23" s="5"/>
      <c r="AC23" s="5"/>
      <c r="AD23" s="20"/>
      <c r="AE23" s="20"/>
      <c r="AF23" s="20"/>
      <c r="AG23" s="20"/>
      <c r="AH23" s="20"/>
      <c r="AI23" s="20"/>
      <c r="AJ23" s="5"/>
      <c r="AK23" s="5"/>
    </row>
    <row r="24" spans="9:37" ht="15" customHeight="1">
      <c r="I24" s="40"/>
      <c r="J24" s="5" t="s">
        <v>65</v>
      </c>
      <c r="K24" s="5" t="s">
        <v>42</v>
      </c>
      <c r="L24" s="5">
        <v>4</v>
      </c>
      <c r="M24" s="5" t="s">
        <v>14</v>
      </c>
      <c r="N24" s="35" t="s">
        <v>66</v>
      </c>
      <c r="O24" s="36"/>
      <c r="P24" s="36"/>
      <c r="Q24" s="36"/>
      <c r="R24" s="36"/>
      <c r="S24" s="37"/>
      <c r="T24" s="7">
        <v>45814</v>
      </c>
      <c r="U24" s="7">
        <v>45844</v>
      </c>
      <c r="X24" s="18">
        <v>1.1599999999999999</v>
      </c>
      <c r="Y24" s="25" t="s">
        <v>18</v>
      </c>
      <c r="Z24" s="5" t="s">
        <v>53</v>
      </c>
      <c r="AA24" s="5" t="s">
        <v>38</v>
      </c>
      <c r="AB24" s="5">
        <v>4</v>
      </c>
      <c r="AC24" s="5" t="s">
        <v>14</v>
      </c>
      <c r="AD24" s="20" t="s">
        <v>54</v>
      </c>
      <c r="AE24" s="20"/>
      <c r="AF24" s="20"/>
      <c r="AG24" s="20"/>
      <c r="AH24" s="20"/>
      <c r="AI24" s="20"/>
      <c r="AJ24" s="7">
        <v>45722</v>
      </c>
      <c r="AK24" s="7">
        <v>45783</v>
      </c>
    </row>
    <row r="25" spans="9:37" ht="15" customHeight="1">
      <c r="I25" s="38">
        <v>2.1</v>
      </c>
      <c r="J25" s="5" t="s">
        <v>67</v>
      </c>
      <c r="K25" s="5" t="s">
        <v>38</v>
      </c>
      <c r="L25" s="5">
        <v>4</v>
      </c>
      <c r="M25" s="5" t="s">
        <v>14</v>
      </c>
      <c r="N25" s="35" t="s">
        <v>68</v>
      </c>
      <c r="O25" s="36"/>
      <c r="P25" s="36"/>
      <c r="Q25" s="36"/>
      <c r="R25" s="36"/>
      <c r="S25" s="37"/>
      <c r="T25" s="7">
        <v>45875</v>
      </c>
      <c r="U25" s="7">
        <v>45906</v>
      </c>
      <c r="X25" s="18"/>
      <c r="Y25" s="25"/>
      <c r="Z25" s="6" t="s">
        <v>55</v>
      </c>
      <c r="AA25" s="5" t="s">
        <v>38</v>
      </c>
      <c r="AB25" s="5">
        <v>2</v>
      </c>
      <c r="AC25" s="5" t="s">
        <v>14</v>
      </c>
      <c r="AD25" s="20" t="s">
        <v>56</v>
      </c>
      <c r="AE25" s="20"/>
      <c r="AF25" s="20"/>
      <c r="AG25" s="20"/>
      <c r="AH25" s="20"/>
      <c r="AI25" s="20"/>
      <c r="AJ25" s="7">
        <v>45753</v>
      </c>
      <c r="AK25" s="7">
        <v>45783</v>
      </c>
    </row>
    <row r="26" spans="9:37" ht="15" customHeight="1">
      <c r="I26" s="39"/>
      <c r="J26" s="5" t="s">
        <v>69</v>
      </c>
      <c r="K26" s="5" t="s">
        <v>38</v>
      </c>
      <c r="L26" s="5">
        <v>2</v>
      </c>
      <c r="M26" s="5" t="s">
        <v>14</v>
      </c>
      <c r="N26" s="35" t="s">
        <v>70</v>
      </c>
      <c r="O26" s="36"/>
      <c r="P26" s="36"/>
      <c r="Q26" s="36"/>
      <c r="R26" s="36"/>
      <c r="S26" s="37"/>
      <c r="T26" s="7">
        <v>45875</v>
      </c>
      <c r="U26" s="7">
        <v>45906</v>
      </c>
      <c r="X26" s="18"/>
      <c r="Y26" s="25"/>
      <c r="Z26" s="5" t="s">
        <v>58</v>
      </c>
      <c r="AA26" s="5" t="s">
        <v>25</v>
      </c>
      <c r="AB26" s="5">
        <v>4</v>
      </c>
      <c r="AC26" s="5" t="s">
        <v>14</v>
      </c>
      <c r="AD26" s="20" t="s">
        <v>59</v>
      </c>
      <c r="AE26" s="20"/>
      <c r="AF26" s="20"/>
      <c r="AG26" s="20"/>
      <c r="AH26" s="20"/>
      <c r="AI26" s="20"/>
      <c r="AJ26" s="7">
        <v>45753</v>
      </c>
      <c r="AK26" s="7">
        <v>45783</v>
      </c>
    </row>
    <row r="27" spans="9:37" ht="15" customHeight="1">
      <c r="I27" s="40"/>
      <c r="J27" s="5" t="s">
        <v>71</v>
      </c>
      <c r="K27" s="5" t="s">
        <v>42</v>
      </c>
      <c r="L27" s="5">
        <v>1</v>
      </c>
      <c r="M27" s="5" t="s">
        <v>14</v>
      </c>
      <c r="N27" s="35" t="s">
        <v>72</v>
      </c>
      <c r="O27" s="36"/>
      <c r="P27" s="36"/>
      <c r="Q27" s="36"/>
      <c r="R27" s="36"/>
      <c r="S27" s="37"/>
      <c r="T27" s="7">
        <v>45875</v>
      </c>
      <c r="U27" s="7">
        <v>45906</v>
      </c>
      <c r="X27" s="11"/>
      <c r="Y27" s="13"/>
      <c r="Z27" s="5"/>
      <c r="AA27" s="5"/>
      <c r="AB27" s="5"/>
      <c r="AC27" s="5"/>
      <c r="AD27" s="20"/>
      <c r="AE27" s="20"/>
      <c r="AF27" s="20"/>
      <c r="AG27" s="20"/>
      <c r="AH27" s="20"/>
      <c r="AI27" s="20"/>
      <c r="AJ27" s="5"/>
      <c r="AK27" s="5"/>
    </row>
    <row r="28" spans="9:37" ht="15" customHeight="1">
      <c r="I28" s="38">
        <v>2.2000000000000002</v>
      </c>
      <c r="J28" s="5" t="s">
        <v>73</v>
      </c>
      <c r="K28" s="5" t="s">
        <v>31</v>
      </c>
      <c r="L28" s="5">
        <v>4</v>
      </c>
      <c r="M28" s="5" t="s">
        <v>14</v>
      </c>
      <c r="N28" s="35" t="s">
        <v>74</v>
      </c>
      <c r="O28" s="36"/>
      <c r="P28" s="36"/>
      <c r="Q28" s="36"/>
      <c r="R28" s="36"/>
      <c r="S28" s="37"/>
      <c r="T28" s="7">
        <v>45936</v>
      </c>
      <c r="U28" s="7">
        <v>45967</v>
      </c>
      <c r="X28" s="18">
        <v>1.19</v>
      </c>
      <c r="Y28" s="25" t="s">
        <v>18</v>
      </c>
      <c r="Z28" s="5" t="s">
        <v>60</v>
      </c>
      <c r="AA28" s="5" t="s">
        <v>22</v>
      </c>
      <c r="AB28" s="5">
        <v>4</v>
      </c>
      <c r="AC28" s="5" t="s">
        <v>14</v>
      </c>
      <c r="AD28" s="20" t="s">
        <v>61</v>
      </c>
      <c r="AE28" s="20"/>
      <c r="AF28" s="20"/>
      <c r="AG28" s="20"/>
      <c r="AH28" s="20"/>
      <c r="AI28" s="20"/>
      <c r="AJ28" s="7">
        <v>45814</v>
      </c>
      <c r="AK28" s="7">
        <v>45844</v>
      </c>
    </row>
    <row r="29" spans="9:37" ht="15" customHeight="1">
      <c r="I29" s="39"/>
      <c r="J29" s="5" t="s">
        <v>75</v>
      </c>
      <c r="K29" s="5" t="s">
        <v>31</v>
      </c>
      <c r="L29" s="5">
        <v>1</v>
      </c>
      <c r="M29" s="5" t="s">
        <v>14</v>
      </c>
      <c r="N29" s="35" t="s">
        <v>76</v>
      </c>
      <c r="O29" s="36"/>
      <c r="P29" s="36"/>
      <c r="Q29" s="36"/>
      <c r="R29" s="36"/>
      <c r="S29" s="37"/>
      <c r="T29" s="7">
        <v>45936</v>
      </c>
      <c r="U29" s="7">
        <v>45967</v>
      </c>
      <c r="X29" s="18"/>
      <c r="Y29" s="25"/>
      <c r="Z29" s="5" t="s">
        <v>63</v>
      </c>
      <c r="AA29" s="5" t="s">
        <v>22</v>
      </c>
      <c r="AB29" s="5">
        <v>1</v>
      </c>
      <c r="AC29" s="5" t="s">
        <v>14</v>
      </c>
      <c r="AD29" s="20" t="s">
        <v>64</v>
      </c>
      <c r="AE29" s="20"/>
      <c r="AF29" s="20"/>
      <c r="AG29" s="20"/>
      <c r="AH29" s="20"/>
      <c r="AI29" s="20"/>
      <c r="AJ29" s="7">
        <v>45814</v>
      </c>
      <c r="AK29" s="7">
        <v>45844</v>
      </c>
    </row>
    <row r="30" spans="9:37" ht="15" customHeight="1">
      <c r="I30" s="39"/>
      <c r="J30" s="6" t="s">
        <v>77</v>
      </c>
      <c r="K30" s="5" t="s">
        <v>42</v>
      </c>
      <c r="L30" s="5">
        <v>3</v>
      </c>
      <c r="M30" s="5" t="s">
        <v>14</v>
      </c>
      <c r="N30" s="35" t="s">
        <v>78</v>
      </c>
      <c r="O30" s="36"/>
      <c r="P30" s="36"/>
      <c r="Q30" s="36"/>
      <c r="R30" s="36"/>
      <c r="S30" s="37"/>
      <c r="T30" s="7">
        <v>45936</v>
      </c>
      <c r="U30" s="7">
        <v>45967</v>
      </c>
      <c r="X30" s="18"/>
      <c r="Y30" s="25"/>
      <c r="Z30" s="5" t="s">
        <v>65</v>
      </c>
      <c r="AA30" s="5" t="s">
        <v>42</v>
      </c>
      <c r="AB30" s="5">
        <v>4</v>
      </c>
      <c r="AC30" s="5" t="s">
        <v>14</v>
      </c>
      <c r="AD30" s="20" t="s">
        <v>66</v>
      </c>
      <c r="AE30" s="20"/>
      <c r="AF30" s="20"/>
      <c r="AG30" s="20"/>
      <c r="AH30" s="20"/>
      <c r="AI30" s="20"/>
      <c r="AJ30" s="7">
        <v>45814</v>
      </c>
      <c r="AK30" s="7">
        <v>45844</v>
      </c>
    </row>
    <row r="31" spans="9:37" ht="15" customHeight="1">
      <c r="I31" s="40"/>
      <c r="J31" s="5" t="s">
        <v>79</v>
      </c>
      <c r="K31" s="5" t="s">
        <v>25</v>
      </c>
      <c r="L31" s="5">
        <v>1</v>
      </c>
      <c r="M31" s="5" t="s">
        <v>14</v>
      </c>
      <c r="N31" s="35" t="s">
        <v>80</v>
      </c>
      <c r="O31" s="36"/>
      <c r="P31" s="36"/>
      <c r="Q31" s="36"/>
      <c r="R31" s="36"/>
      <c r="S31" s="37"/>
      <c r="T31" s="7">
        <v>45936</v>
      </c>
      <c r="U31" s="7">
        <v>45967</v>
      </c>
      <c r="X31" s="11"/>
      <c r="Y31" s="13"/>
      <c r="Z31" s="5"/>
      <c r="AA31" s="5"/>
      <c r="AB31" s="5"/>
      <c r="AC31" s="5"/>
      <c r="AD31" s="20"/>
      <c r="AE31" s="20"/>
      <c r="AF31" s="20"/>
      <c r="AG31" s="20"/>
      <c r="AH31" s="20"/>
      <c r="AI31" s="20"/>
      <c r="AJ31" s="5"/>
      <c r="AK31" s="5"/>
    </row>
    <row r="32" spans="9:37" ht="15" customHeight="1">
      <c r="I32" s="38">
        <v>2.4</v>
      </c>
      <c r="J32" s="5" t="s">
        <v>81</v>
      </c>
      <c r="K32" s="5" t="s">
        <v>31</v>
      </c>
      <c r="L32" s="5">
        <v>4</v>
      </c>
      <c r="M32" s="5" t="s">
        <v>14</v>
      </c>
      <c r="N32" s="35" t="s">
        <v>82</v>
      </c>
      <c r="O32" s="36"/>
      <c r="P32" s="36"/>
      <c r="Q32" s="36"/>
      <c r="R32" s="36"/>
      <c r="S32" s="37"/>
      <c r="T32" s="7">
        <v>45997</v>
      </c>
      <c r="U32" s="5" t="s">
        <v>83</v>
      </c>
      <c r="X32" s="18">
        <v>2.1</v>
      </c>
      <c r="Y32" s="27" t="s">
        <v>57</v>
      </c>
      <c r="Z32" s="5" t="s">
        <v>67</v>
      </c>
      <c r="AA32" s="5" t="s">
        <v>38</v>
      </c>
      <c r="AB32" s="5">
        <v>4</v>
      </c>
      <c r="AC32" s="5" t="s">
        <v>14</v>
      </c>
      <c r="AD32" s="20" t="s">
        <v>68</v>
      </c>
      <c r="AE32" s="20"/>
      <c r="AF32" s="20"/>
      <c r="AG32" s="20"/>
      <c r="AH32" s="20"/>
      <c r="AI32" s="20"/>
      <c r="AJ32" s="7">
        <v>45875</v>
      </c>
      <c r="AK32" s="7">
        <v>45906</v>
      </c>
    </row>
    <row r="33" spans="9:37" ht="15" customHeight="1">
      <c r="I33" s="39"/>
      <c r="J33" s="5" t="s">
        <v>84</v>
      </c>
      <c r="K33" s="5" t="s">
        <v>31</v>
      </c>
      <c r="L33" s="5">
        <v>2</v>
      </c>
      <c r="M33" s="5" t="s">
        <v>14</v>
      </c>
      <c r="N33" s="35" t="s">
        <v>85</v>
      </c>
      <c r="O33" s="36"/>
      <c r="P33" s="36"/>
      <c r="Q33" s="36"/>
      <c r="R33" s="36"/>
      <c r="S33" s="37"/>
      <c r="T33" s="7">
        <v>45997</v>
      </c>
      <c r="U33" s="5" t="s">
        <v>83</v>
      </c>
      <c r="X33" s="18"/>
      <c r="Y33" s="27"/>
      <c r="Z33" s="5" t="s">
        <v>69</v>
      </c>
      <c r="AA33" s="5" t="s">
        <v>38</v>
      </c>
      <c r="AB33" s="5">
        <v>2</v>
      </c>
      <c r="AC33" s="5" t="s">
        <v>14</v>
      </c>
      <c r="AD33" s="20" t="s">
        <v>70</v>
      </c>
      <c r="AE33" s="20"/>
      <c r="AF33" s="20"/>
      <c r="AG33" s="20"/>
      <c r="AH33" s="20"/>
      <c r="AI33" s="20"/>
      <c r="AJ33" s="7">
        <v>45875</v>
      </c>
      <c r="AK33" s="7">
        <v>45906</v>
      </c>
    </row>
    <row r="34" spans="9:37" ht="15" customHeight="1">
      <c r="I34" s="40"/>
      <c r="J34" s="5" t="s">
        <v>86</v>
      </c>
      <c r="K34" s="5" t="s">
        <v>42</v>
      </c>
      <c r="L34" s="5">
        <v>1</v>
      </c>
      <c r="M34" s="5" t="s">
        <v>14</v>
      </c>
      <c r="N34" s="35" t="s">
        <v>87</v>
      </c>
      <c r="O34" s="36"/>
      <c r="P34" s="36"/>
      <c r="Q34" s="36"/>
      <c r="R34" s="36"/>
      <c r="S34" s="37"/>
      <c r="T34" s="7">
        <v>45997</v>
      </c>
      <c r="U34" s="5" t="s">
        <v>83</v>
      </c>
      <c r="X34" s="18"/>
      <c r="Y34" s="27"/>
      <c r="Z34" s="5" t="s">
        <v>71</v>
      </c>
      <c r="AA34" s="5" t="s">
        <v>42</v>
      </c>
      <c r="AB34" s="5">
        <v>1</v>
      </c>
      <c r="AC34" s="5" t="s">
        <v>14</v>
      </c>
      <c r="AD34" s="20" t="s">
        <v>72</v>
      </c>
      <c r="AE34" s="20"/>
      <c r="AF34" s="20"/>
      <c r="AG34" s="20"/>
      <c r="AH34" s="20"/>
      <c r="AI34" s="20"/>
      <c r="AJ34" s="7">
        <v>45875</v>
      </c>
      <c r="AK34" s="7">
        <v>45906</v>
      </c>
    </row>
    <row r="35" spans="9:37" ht="15" customHeight="1">
      <c r="I35" s="41">
        <v>4.5</v>
      </c>
      <c r="J35" s="5" t="s">
        <v>88</v>
      </c>
      <c r="K35" s="5" t="s">
        <v>13</v>
      </c>
      <c r="L35" s="5">
        <v>4</v>
      </c>
      <c r="M35" s="5" t="s">
        <v>14</v>
      </c>
      <c r="N35" s="35" t="s">
        <v>89</v>
      </c>
      <c r="O35" s="36"/>
      <c r="P35" s="36"/>
      <c r="Q35" s="36"/>
      <c r="R35" s="36"/>
      <c r="S35" s="37"/>
      <c r="T35" s="5" t="s">
        <v>83</v>
      </c>
      <c r="U35" s="5" t="s">
        <v>90</v>
      </c>
      <c r="X35" s="11"/>
      <c r="Y35" s="13"/>
      <c r="Z35" s="5"/>
      <c r="AA35" s="5"/>
      <c r="AB35" s="5"/>
      <c r="AC35" s="5"/>
      <c r="AD35" s="20"/>
      <c r="AE35" s="20"/>
      <c r="AF35" s="20"/>
      <c r="AG35" s="20"/>
      <c r="AH35" s="20"/>
      <c r="AI35" s="20"/>
      <c r="AJ35" s="5"/>
      <c r="AK35" s="5"/>
    </row>
    <row r="36" spans="9:37" ht="15" customHeight="1">
      <c r="I36" s="42"/>
      <c r="J36" s="5" t="s">
        <v>91</v>
      </c>
      <c r="K36" s="5" t="s">
        <v>13</v>
      </c>
      <c r="L36" s="5">
        <v>2</v>
      </c>
      <c r="M36" s="5" t="s">
        <v>14</v>
      </c>
      <c r="N36" s="35" t="s">
        <v>92</v>
      </c>
      <c r="O36" s="36"/>
      <c r="P36" s="36"/>
      <c r="Q36" s="36"/>
      <c r="R36" s="36"/>
      <c r="S36" s="37"/>
      <c r="T36" s="5" t="s">
        <v>83</v>
      </c>
      <c r="U36" s="5" t="s">
        <v>90</v>
      </c>
      <c r="X36" s="32">
        <v>2.2000000000000002</v>
      </c>
      <c r="Y36" s="28" t="s">
        <v>93</v>
      </c>
      <c r="Z36" s="5" t="s">
        <v>73</v>
      </c>
      <c r="AA36" s="5" t="s">
        <v>31</v>
      </c>
      <c r="AB36" s="5">
        <v>4</v>
      </c>
      <c r="AC36" s="5" t="s">
        <v>14</v>
      </c>
      <c r="AD36" s="20" t="s">
        <v>74</v>
      </c>
      <c r="AE36" s="20"/>
      <c r="AF36" s="20"/>
      <c r="AG36" s="20"/>
      <c r="AH36" s="20"/>
      <c r="AI36" s="20"/>
      <c r="AJ36" s="7">
        <v>45936</v>
      </c>
      <c r="AK36" s="7">
        <v>45967</v>
      </c>
    </row>
    <row r="37" spans="9:37" ht="15" customHeight="1">
      <c r="I37" s="43"/>
      <c r="J37" s="5" t="s">
        <v>94</v>
      </c>
      <c r="K37" s="5" t="s">
        <v>25</v>
      </c>
      <c r="L37" s="5">
        <v>1</v>
      </c>
      <c r="M37" s="5" t="s">
        <v>14</v>
      </c>
      <c r="N37" s="35" t="s">
        <v>95</v>
      </c>
      <c r="O37" s="36"/>
      <c r="P37" s="36"/>
      <c r="Q37" s="36"/>
      <c r="R37" s="36"/>
      <c r="S37" s="37"/>
      <c r="T37" s="5" t="s">
        <v>83</v>
      </c>
      <c r="U37" s="5" t="s">
        <v>90</v>
      </c>
      <c r="X37" s="33"/>
      <c r="Y37" s="29"/>
      <c r="Z37" s="5" t="s">
        <v>75</v>
      </c>
      <c r="AA37" s="5" t="s">
        <v>31</v>
      </c>
      <c r="AB37" s="5">
        <v>1</v>
      </c>
      <c r="AC37" s="5" t="s">
        <v>14</v>
      </c>
      <c r="AD37" s="20" t="s">
        <v>76</v>
      </c>
      <c r="AE37" s="20"/>
      <c r="AF37" s="20"/>
      <c r="AG37" s="20"/>
      <c r="AH37" s="20"/>
      <c r="AI37" s="20"/>
      <c r="AJ37" s="7">
        <v>45936</v>
      </c>
      <c r="AK37" s="7">
        <v>45967</v>
      </c>
    </row>
    <row r="38" spans="9:37" ht="15" customHeight="1">
      <c r="I38" s="38">
        <v>6.5</v>
      </c>
      <c r="J38" s="5" t="s">
        <v>96</v>
      </c>
      <c r="K38" s="5" t="s">
        <v>22</v>
      </c>
      <c r="L38" s="5">
        <v>4</v>
      </c>
      <c r="M38" s="5" t="s">
        <v>14</v>
      </c>
      <c r="N38" s="35" t="s">
        <v>89</v>
      </c>
      <c r="O38" s="36"/>
      <c r="P38" s="36"/>
      <c r="Q38" s="36"/>
      <c r="R38" s="36"/>
      <c r="S38" s="37"/>
      <c r="T38" s="9" t="s">
        <v>90</v>
      </c>
      <c r="U38" s="5" t="s">
        <v>90</v>
      </c>
      <c r="X38" s="33"/>
      <c r="Y38" s="29"/>
      <c r="Z38" s="6" t="s">
        <v>77</v>
      </c>
      <c r="AA38" s="5" t="s">
        <v>42</v>
      </c>
      <c r="AB38" s="5">
        <v>3</v>
      </c>
      <c r="AC38" s="5" t="s">
        <v>14</v>
      </c>
      <c r="AD38" s="20" t="s">
        <v>78</v>
      </c>
      <c r="AE38" s="20"/>
      <c r="AF38" s="20"/>
      <c r="AG38" s="20"/>
      <c r="AH38" s="20"/>
      <c r="AI38" s="20"/>
      <c r="AJ38" s="7">
        <v>45936</v>
      </c>
      <c r="AK38" s="7">
        <v>45967</v>
      </c>
    </row>
    <row r="39" spans="9:37" ht="15" customHeight="1">
      <c r="I39" s="39"/>
      <c r="J39" s="5" t="s">
        <v>97</v>
      </c>
      <c r="K39" s="5" t="s">
        <v>22</v>
      </c>
      <c r="L39" s="5">
        <v>2</v>
      </c>
      <c r="M39" s="5" t="s">
        <v>14</v>
      </c>
      <c r="N39" s="35" t="s">
        <v>92</v>
      </c>
      <c r="O39" s="36"/>
      <c r="P39" s="36"/>
      <c r="Q39" s="36"/>
      <c r="R39" s="36"/>
      <c r="S39" s="37"/>
      <c r="T39" s="9" t="s">
        <v>90</v>
      </c>
      <c r="U39" s="5" t="s">
        <v>90</v>
      </c>
      <c r="X39" s="34"/>
      <c r="Y39" s="30"/>
      <c r="Z39" s="5" t="s">
        <v>79</v>
      </c>
      <c r="AA39" s="5" t="s">
        <v>25</v>
      </c>
      <c r="AB39" s="5">
        <v>1</v>
      </c>
      <c r="AC39" s="5" t="s">
        <v>14</v>
      </c>
      <c r="AD39" s="20" t="s">
        <v>80</v>
      </c>
      <c r="AE39" s="20"/>
      <c r="AF39" s="20"/>
      <c r="AG39" s="20"/>
      <c r="AH39" s="20"/>
      <c r="AI39" s="20"/>
      <c r="AJ39" s="7">
        <v>45936</v>
      </c>
      <c r="AK39" s="7">
        <v>45967</v>
      </c>
    </row>
    <row r="40" spans="9:37" ht="15" customHeight="1">
      <c r="I40" s="40"/>
      <c r="J40" s="5" t="s">
        <v>98</v>
      </c>
      <c r="K40" s="5" t="s">
        <v>38</v>
      </c>
      <c r="L40" s="5">
        <v>1</v>
      </c>
      <c r="M40" s="5" t="s">
        <v>14</v>
      </c>
      <c r="N40" s="35" t="s">
        <v>99</v>
      </c>
      <c r="O40" s="36"/>
      <c r="P40" s="36"/>
      <c r="Q40" s="36"/>
      <c r="R40" s="36"/>
      <c r="S40" s="37"/>
      <c r="T40" s="9" t="s">
        <v>90</v>
      </c>
      <c r="U40" s="5" t="s">
        <v>90</v>
      </c>
      <c r="X40" s="12"/>
      <c r="Y40" s="13"/>
      <c r="Z40" s="5"/>
      <c r="AA40" s="5"/>
      <c r="AB40" s="5"/>
      <c r="AC40" s="5"/>
      <c r="AD40" s="20"/>
      <c r="AE40" s="20"/>
      <c r="AF40" s="20"/>
      <c r="AG40" s="20"/>
      <c r="AH40" s="20"/>
      <c r="AI40" s="20"/>
      <c r="AJ40" s="5"/>
      <c r="AK40" s="5"/>
    </row>
    <row r="41" spans="9:37" ht="15" customHeight="1">
      <c r="I41" s="38">
        <v>7.2</v>
      </c>
      <c r="J41" s="6" t="s">
        <v>100</v>
      </c>
      <c r="K41" s="5" t="s">
        <v>38</v>
      </c>
      <c r="L41" s="5">
        <v>4</v>
      </c>
      <c r="M41" s="5" t="s">
        <v>14</v>
      </c>
      <c r="N41" s="35" t="s">
        <v>101</v>
      </c>
      <c r="O41" s="36"/>
      <c r="P41" s="36"/>
      <c r="Q41" s="36"/>
      <c r="R41" s="36"/>
      <c r="S41" s="37"/>
      <c r="T41" s="5" t="s">
        <v>102</v>
      </c>
      <c r="U41" s="5" t="s">
        <v>103</v>
      </c>
      <c r="X41" s="21">
        <v>2.4</v>
      </c>
      <c r="Y41" s="19" t="s">
        <v>29</v>
      </c>
      <c r="Z41" s="5" t="s">
        <v>81</v>
      </c>
      <c r="AA41" s="5" t="s">
        <v>31</v>
      </c>
      <c r="AB41" s="5">
        <v>4</v>
      </c>
      <c r="AC41" s="5" t="s">
        <v>14</v>
      </c>
      <c r="AD41" s="20" t="s">
        <v>82</v>
      </c>
      <c r="AE41" s="20"/>
      <c r="AF41" s="20"/>
      <c r="AG41" s="20"/>
      <c r="AH41" s="20"/>
      <c r="AI41" s="20"/>
      <c r="AJ41" s="7">
        <v>45997</v>
      </c>
      <c r="AK41" s="5" t="s">
        <v>83</v>
      </c>
    </row>
    <row r="42" spans="9:37" ht="15" customHeight="1">
      <c r="I42" s="39"/>
      <c r="J42" s="5" t="s">
        <v>104</v>
      </c>
      <c r="K42" s="5" t="s">
        <v>38</v>
      </c>
      <c r="L42" s="5">
        <v>2</v>
      </c>
      <c r="M42" s="5" t="s">
        <v>14</v>
      </c>
      <c r="N42" s="35" t="s">
        <v>105</v>
      </c>
      <c r="O42" s="36"/>
      <c r="P42" s="36"/>
      <c r="Q42" s="36"/>
      <c r="R42" s="36"/>
      <c r="S42" s="37"/>
      <c r="T42" s="5" t="s">
        <v>102</v>
      </c>
      <c r="U42" s="5" t="s">
        <v>103</v>
      </c>
      <c r="X42" s="21"/>
      <c r="Y42" s="19"/>
      <c r="Z42" s="5" t="s">
        <v>84</v>
      </c>
      <c r="AA42" s="5" t="s">
        <v>31</v>
      </c>
      <c r="AB42" s="5">
        <v>2</v>
      </c>
      <c r="AC42" s="5" t="s">
        <v>14</v>
      </c>
      <c r="AD42" s="20" t="s">
        <v>85</v>
      </c>
      <c r="AE42" s="20"/>
      <c r="AF42" s="20"/>
      <c r="AG42" s="20"/>
      <c r="AH42" s="20"/>
      <c r="AI42" s="20"/>
      <c r="AJ42" s="7">
        <v>45997</v>
      </c>
      <c r="AK42" s="5" t="s">
        <v>83</v>
      </c>
    </row>
    <row r="43" spans="9:37" ht="15" customHeight="1">
      <c r="I43" s="40"/>
      <c r="J43" s="5" t="s">
        <v>106</v>
      </c>
      <c r="K43" s="5" t="s">
        <v>42</v>
      </c>
      <c r="L43" s="5">
        <v>2</v>
      </c>
      <c r="M43" s="5" t="s">
        <v>14</v>
      </c>
      <c r="N43" s="35" t="s">
        <v>107</v>
      </c>
      <c r="O43" s="36"/>
      <c r="P43" s="36"/>
      <c r="Q43" s="36"/>
      <c r="R43" s="36"/>
      <c r="S43" s="37"/>
      <c r="T43" s="5" t="s">
        <v>102</v>
      </c>
      <c r="U43" s="5" t="s">
        <v>103</v>
      </c>
      <c r="X43" s="21"/>
      <c r="Y43" s="19"/>
      <c r="Z43" s="5" t="s">
        <v>86</v>
      </c>
      <c r="AA43" s="5" t="s">
        <v>42</v>
      </c>
      <c r="AB43" s="5">
        <v>1</v>
      </c>
      <c r="AC43" s="5" t="s">
        <v>14</v>
      </c>
      <c r="AD43" s="20" t="s">
        <v>87</v>
      </c>
      <c r="AE43" s="20"/>
      <c r="AF43" s="20"/>
      <c r="AG43" s="20"/>
      <c r="AH43" s="20"/>
      <c r="AI43" s="20"/>
      <c r="AJ43" s="7">
        <v>45997</v>
      </c>
      <c r="AK43" s="5" t="s">
        <v>83</v>
      </c>
    </row>
    <row r="44" spans="9:37" ht="15" customHeight="1">
      <c r="I44" s="38">
        <v>7.4</v>
      </c>
      <c r="J44" s="5" t="s">
        <v>108</v>
      </c>
      <c r="K44" s="5" t="s">
        <v>25</v>
      </c>
      <c r="L44" s="5">
        <v>4</v>
      </c>
      <c r="M44" s="5" t="s">
        <v>14</v>
      </c>
      <c r="N44" s="35" t="s">
        <v>109</v>
      </c>
      <c r="O44" s="36"/>
      <c r="P44" s="36"/>
      <c r="Q44" s="36"/>
      <c r="R44" s="36"/>
      <c r="S44" s="37"/>
      <c r="T44" s="5" t="s">
        <v>102</v>
      </c>
      <c r="U44" s="5" t="s">
        <v>103</v>
      </c>
      <c r="X44" s="12"/>
      <c r="Y44" s="13"/>
      <c r="Z44" s="5"/>
      <c r="AA44" s="5"/>
      <c r="AB44" s="5"/>
      <c r="AC44" s="5"/>
      <c r="AD44" s="20"/>
      <c r="AE44" s="20"/>
      <c r="AF44" s="20"/>
      <c r="AG44" s="20"/>
      <c r="AH44" s="20"/>
      <c r="AI44" s="20"/>
      <c r="AJ44" s="5"/>
      <c r="AK44" s="5"/>
    </row>
    <row r="45" spans="9:37" ht="15" customHeight="1">
      <c r="I45" s="39"/>
      <c r="J45" s="5" t="s">
        <v>110</v>
      </c>
      <c r="K45" s="5" t="s">
        <v>25</v>
      </c>
      <c r="L45" s="5">
        <v>2</v>
      </c>
      <c r="M45" s="5" t="s">
        <v>14</v>
      </c>
      <c r="N45" s="35" t="s">
        <v>111</v>
      </c>
      <c r="O45" s="36"/>
      <c r="P45" s="36"/>
      <c r="Q45" s="36"/>
      <c r="R45" s="36"/>
      <c r="S45" s="37"/>
      <c r="T45" s="5" t="s">
        <v>102</v>
      </c>
      <c r="U45" s="5" t="s">
        <v>103</v>
      </c>
      <c r="X45" s="21">
        <v>4.5</v>
      </c>
      <c r="Y45" s="19" t="s">
        <v>29</v>
      </c>
      <c r="Z45" s="5" t="s">
        <v>88</v>
      </c>
      <c r="AA45" s="5" t="s">
        <v>13</v>
      </c>
      <c r="AB45" s="5">
        <v>4</v>
      </c>
      <c r="AC45" s="5" t="s">
        <v>14</v>
      </c>
      <c r="AD45" s="20" t="s">
        <v>89</v>
      </c>
      <c r="AE45" s="20"/>
      <c r="AF45" s="20"/>
      <c r="AG45" s="20"/>
      <c r="AH45" s="20"/>
      <c r="AI45" s="20"/>
      <c r="AJ45" s="5" t="s">
        <v>83</v>
      </c>
      <c r="AK45" s="5" t="s">
        <v>90</v>
      </c>
    </row>
    <row r="46" spans="9:37" ht="15" customHeight="1">
      <c r="I46" s="40"/>
      <c r="J46" s="5" t="s">
        <v>112</v>
      </c>
      <c r="K46" s="5" t="s">
        <v>13</v>
      </c>
      <c r="L46" s="5">
        <v>2</v>
      </c>
      <c r="M46" s="5" t="s">
        <v>14</v>
      </c>
      <c r="N46" s="35" t="s">
        <v>113</v>
      </c>
      <c r="O46" s="36"/>
      <c r="P46" s="36"/>
      <c r="Q46" s="36"/>
      <c r="R46" s="36"/>
      <c r="S46" s="37"/>
      <c r="T46" s="5" t="s">
        <v>102</v>
      </c>
      <c r="U46" s="5" t="s">
        <v>103</v>
      </c>
      <c r="X46" s="21"/>
      <c r="Y46" s="19"/>
      <c r="Z46" s="5" t="s">
        <v>91</v>
      </c>
      <c r="AA46" s="5" t="s">
        <v>13</v>
      </c>
      <c r="AB46" s="5">
        <v>2</v>
      </c>
      <c r="AC46" s="5" t="s">
        <v>14</v>
      </c>
      <c r="AD46" s="20" t="s">
        <v>92</v>
      </c>
      <c r="AE46" s="20"/>
      <c r="AF46" s="20"/>
      <c r="AG46" s="20"/>
      <c r="AH46" s="20"/>
      <c r="AI46" s="20"/>
      <c r="AJ46" s="5" t="s">
        <v>83</v>
      </c>
      <c r="AK46" s="5" t="s">
        <v>90</v>
      </c>
    </row>
    <row r="47" spans="9:37" ht="15" customHeight="1">
      <c r="I47" s="38">
        <v>7.5</v>
      </c>
      <c r="J47" s="5" t="s">
        <v>114</v>
      </c>
      <c r="K47" s="5" t="s">
        <v>25</v>
      </c>
      <c r="L47" s="5">
        <v>4</v>
      </c>
      <c r="M47" s="5" t="s">
        <v>14</v>
      </c>
      <c r="N47" s="35" t="s">
        <v>115</v>
      </c>
      <c r="O47" s="36"/>
      <c r="P47" s="36"/>
      <c r="Q47" s="36"/>
      <c r="R47" s="36"/>
      <c r="S47" s="37"/>
      <c r="T47" s="5" t="s">
        <v>102</v>
      </c>
      <c r="U47" s="5" t="s">
        <v>103</v>
      </c>
      <c r="X47" s="21"/>
      <c r="Y47" s="19"/>
      <c r="Z47" s="5" t="s">
        <v>94</v>
      </c>
      <c r="AA47" s="5" t="s">
        <v>25</v>
      </c>
      <c r="AB47" s="5">
        <v>1</v>
      </c>
      <c r="AC47" s="5" t="s">
        <v>14</v>
      </c>
      <c r="AD47" s="20" t="s">
        <v>95</v>
      </c>
      <c r="AE47" s="20"/>
      <c r="AF47" s="20"/>
      <c r="AG47" s="20"/>
      <c r="AH47" s="20"/>
      <c r="AI47" s="20"/>
      <c r="AJ47" s="5" t="s">
        <v>83</v>
      </c>
      <c r="AK47" s="5" t="s">
        <v>90</v>
      </c>
    </row>
    <row r="48" spans="9:37" ht="15" customHeight="1">
      <c r="I48" s="39"/>
      <c r="J48" s="5" t="s">
        <v>116</v>
      </c>
      <c r="K48" s="5" t="s">
        <v>25</v>
      </c>
      <c r="L48" s="5">
        <v>2</v>
      </c>
      <c r="M48" s="5" t="s">
        <v>14</v>
      </c>
      <c r="N48" s="35" t="s">
        <v>117</v>
      </c>
      <c r="O48" s="36"/>
      <c r="P48" s="36"/>
      <c r="Q48" s="36"/>
      <c r="R48" s="36"/>
      <c r="S48" s="37"/>
      <c r="T48" s="5" t="s">
        <v>102</v>
      </c>
      <c r="U48" s="5" t="s">
        <v>103</v>
      </c>
      <c r="X48" s="12"/>
      <c r="Y48" s="13"/>
      <c r="Z48" s="5"/>
      <c r="AA48" s="5"/>
      <c r="AB48" s="5"/>
      <c r="AC48" s="5"/>
      <c r="AD48" s="20"/>
      <c r="AE48" s="20"/>
      <c r="AF48" s="20"/>
      <c r="AG48" s="20"/>
      <c r="AH48" s="20"/>
      <c r="AI48" s="20"/>
      <c r="AJ48" s="5"/>
      <c r="AK48" s="5"/>
    </row>
    <row r="49" spans="9:37" ht="15" customHeight="1">
      <c r="I49" s="40"/>
      <c r="J49" s="5" t="s">
        <v>118</v>
      </c>
      <c r="K49" s="5" t="s">
        <v>22</v>
      </c>
      <c r="L49" s="5">
        <v>2</v>
      </c>
      <c r="M49" s="5" t="s">
        <v>14</v>
      </c>
      <c r="N49" s="35" t="s">
        <v>119</v>
      </c>
      <c r="O49" s="36"/>
      <c r="P49" s="36"/>
      <c r="Q49" s="36"/>
      <c r="R49" s="36"/>
      <c r="S49" s="37"/>
      <c r="T49" s="5" t="s">
        <v>102</v>
      </c>
      <c r="U49" s="5" t="s">
        <v>103</v>
      </c>
      <c r="X49" s="21">
        <v>6.5</v>
      </c>
      <c r="Y49" s="19" t="s">
        <v>29</v>
      </c>
      <c r="Z49" s="5" t="s">
        <v>96</v>
      </c>
      <c r="AA49" s="5" t="s">
        <v>22</v>
      </c>
      <c r="AB49" s="5">
        <v>4</v>
      </c>
      <c r="AC49" s="5" t="s">
        <v>14</v>
      </c>
      <c r="AD49" s="20" t="s">
        <v>89</v>
      </c>
      <c r="AE49" s="20"/>
      <c r="AF49" s="20"/>
      <c r="AG49" s="20"/>
      <c r="AH49" s="20"/>
      <c r="AI49" s="20"/>
      <c r="AJ49" s="9" t="s">
        <v>90</v>
      </c>
      <c r="AK49" s="5" t="s">
        <v>90</v>
      </c>
    </row>
    <row r="50" spans="9:37">
      <c r="X50" s="21"/>
      <c r="Y50" s="19"/>
      <c r="Z50" s="5" t="s">
        <v>97</v>
      </c>
      <c r="AA50" s="5" t="s">
        <v>22</v>
      </c>
      <c r="AB50" s="5">
        <v>2</v>
      </c>
      <c r="AC50" s="5" t="s">
        <v>14</v>
      </c>
      <c r="AD50" s="20" t="s">
        <v>92</v>
      </c>
      <c r="AE50" s="20"/>
      <c r="AF50" s="20"/>
      <c r="AG50" s="20"/>
      <c r="AH50" s="20"/>
      <c r="AI50" s="20"/>
      <c r="AJ50" s="9" t="s">
        <v>90</v>
      </c>
      <c r="AK50" s="5" t="s">
        <v>90</v>
      </c>
    </row>
    <row r="51" spans="9:37">
      <c r="X51" s="21"/>
      <c r="Y51" s="19"/>
      <c r="Z51" s="5" t="s">
        <v>98</v>
      </c>
      <c r="AA51" s="5" t="s">
        <v>38</v>
      </c>
      <c r="AB51" s="5">
        <v>1</v>
      </c>
      <c r="AC51" s="5" t="s">
        <v>14</v>
      </c>
      <c r="AD51" s="20" t="s">
        <v>99</v>
      </c>
      <c r="AE51" s="20"/>
      <c r="AF51" s="20"/>
      <c r="AG51" s="20"/>
      <c r="AH51" s="20"/>
      <c r="AI51" s="20"/>
      <c r="AJ51" s="9" t="s">
        <v>90</v>
      </c>
      <c r="AK51" s="5" t="s">
        <v>90</v>
      </c>
    </row>
    <row r="52" spans="9:37">
      <c r="X52" s="12"/>
      <c r="Y52" s="13"/>
      <c r="Z52" s="5"/>
      <c r="AA52" s="5"/>
      <c r="AB52" s="5"/>
      <c r="AC52" s="5"/>
      <c r="AD52" s="20"/>
      <c r="AE52" s="20"/>
      <c r="AF52" s="20"/>
      <c r="AG52" s="20"/>
      <c r="AH52" s="20"/>
      <c r="AI52" s="20"/>
      <c r="AJ52" s="5"/>
      <c r="AK52" s="5"/>
    </row>
    <row r="53" spans="9:37">
      <c r="X53" s="21">
        <v>7.2</v>
      </c>
      <c r="Y53" s="31" t="s">
        <v>93</v>
      </c>
      <c r="Z53" s="6" t="s">
        <v>100</v>
      </c>
      <c r="AA53" s="5" t="s">
        <v>38</v>
      </c>
      <c r="AB53" s="5">
        <v>4</v>
      </c>
      <c r="AC53" s="5" t="s">
        <v>14</v>
      </c>
      <c r="AD53" s="20" t="s">
        <v>101</v>
      </c>
      <c r="AE53" s="20"/>
      <c r="AF53" s="20"/>
      <c r="AG53" s="20"/>
      <c r="AH53" s="20"/>
      <c r="AI53" s="20"/>
      <c r="AJ53" s="5" t="s">
        <v>102</v>
      </c>
      <c r="AK53" s="5" t="s">
        <v>103</v>
      </c>
    </row>
    <row r="54" spans="9:37">
      <c r="X54" s="21"/>
      <c r="Y54" s="31"/>
      <c r="Z54" s="5" t="s">
        <v>104</v>
      </c>
      <c r="AA54" s="5" t="s">
        <v>38</v>
      </c>
      <c r="AB54" s="5">
        <v>2</v>
      </c>
      <c r="AC54" s="5" t="s">
        <v>14</v>
      </c>
      <c r="AD54" s="20" t="s">
        <v>105</v>
      </c>
      <c r="AE54" s="20"/>
      <c r="AF54" s="20"/>
      <c r="AG54" s="20"/>
      <c r="AH54" s="20"/>
      <c r="AI54" s="20"/>
      <c r="AJ54" s="5" t="s">
        <v>102</v>
      </c>
      <c r="AK54" s="5" t="s">
        <v>103</v>
      </c>
    </row>
    <row r="55" spans="9:37">
      <c r="X55" s="21"/>
      <c r="Y55" s="31"/>
      <c r="Z55" s="5" t="s">
        <v>106</v>
      </c>
      <c r="AA55" s="5" t="s">
        <v>42</v>
      </c>
      <c r="AB55" s="5">
        <v>2</v>
      </c>
      <c r="AC55" s="5" t="s">
        <v>14</v>
      </c>
      <c r="AD55" s="20" t="s">
        <v>107</v>
      </c>
      <c r="AE55" s="20"/>
      <c r="AF55" s="20"/>
      <c r="AG55" s="20"/>
      <c r="AH55" s="20"/>
      <c r="AI55" s="20"/>
      <c r="AJ55" s="5" t="s">
        <v>102</v>
      </c>
      <c r="AK55" s="5" t="s">
        <v>103</v>
      </c>
    </row>
    <row r="56" spans="9:37">
      <c r="X56" s="12"/>
      <c r="Y56" s="13"/>
      <c r="Z56" s="5"/>
      <c r="AA56" s="5"/>
      <c r="AB56" s="5"/>
      <c r="AC56" s="5"/>
      <c r="AD56" s="20"/>
      <c r="AE56" s="20"/>
      <c r="AF56" s="20"/>
      <c r="AG56" s="20"/>
      <c r="AH56" s="20"/>
      <c r="AI56" s="20"/>
      <c r="AJ56" s="5"/>
      <c r="AK56" s="5"/>
    </row>
    <row r="57" spans="9:37">
      <c r="X57" s="21">
        <v>7.4</v>
      </c>
      <c r="Y57" s="31" t="s">
        <v>93</v>
      </c>
      <c r="Z57" s="5" t="s">
        <v>108</v>
      </c>
      <c r="AA57" s="5" t="s">
        <v>25</v>
      </c>
      <c r="AB57" s="5">
        <v>4</v>
      </c>
      <c r="AC57" s="5" t="s">
        <v>14</v>
      </c>
      <c r="AD57" s="20" t="s">
        <v>109</v>
      </c>
      <c r="AE57" s="20"/>
      <c r="AF57" s="20"/>
      <c r="AG57" s="20"/>
      <c r="AH57" s="20"/>
      <c r="AI57" s="20"/>
      <c r="AJ57" s="5" t="s">
        <v>102</v>
      </c>
      <c r="AK57" s="5" t="s">
        <v>103</v>
      </c>
    </row>
    <row r="58" spans="9:37">
      <c r="X58" s="21"/>
      <c r="Y58" s="31"/>
      <c r="Z58" s="5" t="s">
        <v>110</v>
      </c>
      <c r="AA58" s="5" t="s">
        <v>25</v>
      </c>
      <c r="AB58" s="5">
        <v>2</v>
      </c>
      <c r="AC58" s="5" t="s">
        <v>14</v>
      </c>
      <c r="AD58" s="20" t="s">
        <v>111</v>
      </c>
      <c r="AE58" s="20"/>
      <c r="AF58" s="20"/>
      <c r="AG58" s="20"/>
      <c r="AH58" s="20"/>
      <c r="AI58" s="20"/>
      <c r="AJ58" s="5" t="s">
        <v>102</v>
      </c>
      <c r="AK58" s="5" t="s">
        <v>103</v>
      </c>
    </row>
    <row r="59" spans="9:37">
      <c r="X59" s="21"/>
      <c r="Y59" s="31"/>
      <c r="Z59" s="5" t="s">
        <v>112</v>
      </c>
      <c r="AA59" s="5" t="s">
        <v>13</v>
      </c>
      <c r="AB59" s="5">
        <v>2</v>
      </c>
      <c r="AC59" s="5" t="s">
        <v>14</v>
      </c>
      <c r="AD59" s="20" t="s">
        <v>113</v>
      </c>
      <c r="AE59" s="20"/>
      <c r="AF59" s="20"/>
      <c r="AG59" s="20"/>
      <c r="AH59" s="20"/>
      <c r="AI59" s="20"/>
      <c r="AJ59" s="5" t="s">
        <v>102</v>
      </c>
      <c r="AK59" s="5" t="s">
        <v>103</v>
      </c>
    </row>
    <row r="60" spans="9:37">
      <c r="X60" s="12"/>
      <c r="Y60" s="13"/>
      <c r="Z60" s="5"/>
      <c r="AA60" s="5"/>
      <c r="AB60" s="5"/>
      <c r="AC60" s="5"/>
      <c r="AD60" s="20"/>
      <c r="AE60" s="20"/>
      <c r="AF60" s="20"/>
      <c r="AG60" s="20"/>
      <c r="AH60" s="20"/>
      <c r="AI60" s="20"/>
      <c r="AJ60" s="5"/>
      <c r="AK60" s="5"/>
    </row>
    <row r="61" spans="9:37">
      <c r="X61" s="21">
        <v>7.5</v>
      </c>
      <c r="Y61" s="31" t="s">
        <v>93</v>
      </c>
      <c r="Z61" s="5" t="s">
        <v>114</v>
      </c>
      <c r="AA61" s="5" t="s">
        <v>25</v>
      </c>
      <c r="AB61" s="5">
        <v>4</v>
      </c>
      <c r="AC61" s="5" t="s">
        <v>14</v>
      </c>
      <c r="AD61" s="20" t="s">
        <v>115</v>
      </c>
      <c r="AE61" s="20"/>
      <c r="AF61" s="20"/>
      <c r="AG61" s="20"/>
      <c r="AH61" s="20"/>
      <c r="AI61" s="20"/>
      <c r="AJ61" s="5" t="s">
        <v>102</v>
      </c>
      <c r="AK61" s="5" t="s">
        <v>103</v>
      </c>
    </row>
    <row r="62" spans="9:37">
      <c r="N62" s="2"/>
      <c r="O62" s="2"/>
      <c r="P62" s="2"/>
      <c r="Q62" s="2"/>
      <c r="R62" s="2"/>
      <c r="S62" s="2"/>
      <c r="X62" s="21"/>
      <c r="Y62" s="31"/>
      <c r="Z62" s="5" t="s">
        <v>116</v>
      </c>
      <c r="AA62" s="5" t="s">
        <v>25</v>
      </c>
      <c r="AB62" s="5">
        <v>2</v>
      </c>
      <c r="AC62" s="5" t="s">
        <v>14</v>
      </c>
      <c r="AD62" s="20" t="s">
        <v>117</v>
      </c>
      <c r="AE62" s="20"/>
      <c r="AF62" s="20"/>
      <c r="AG62" s="20"/>
      <c r="AH62" s="20"/>
      <c r="AI62" s="20"/>
      <c r="AJ62" s="5" t="s">
        <v>102</v>
      </c>
      <c r="AK62" s="5" t="s">
        <v>103</v>
      </c>
    </row>
    <row r="63" spans="9:37">
      <c r="N63" s="2"/>
      <c r="O63" s="2"/>
      <c r="P63" s="2"/>
      <c r="Q63" s="2"/>
      <c r="R63" s="2"/>
      <c r="S63" s="2"/>
      <c r="X63" s="21"/>
      <c r="Y63" s="31"/>
      <c r="Z63" s="5" t="s">
        <v>118</v>
      </c>
      <c r="AA63" s="5" t="s">
        <v>22</v>
      </c>
      <c r="AB63" s="5">
        <v>2</v>
      </c>
      <c r="AC63" s="5" t="s">
        <v>14</v>
      </c>
      <c r="AD63" s="20" t="s">
        <v>119</v>
      </c>
      <c r="AE63" s="20"/>
      <c r="AF63" s="20"/>
      <c r="AG63" s="20"/>
      <c r="AH63" s="20"/>
      <c r="AI63" s="20"/>
      <c r="AJ63" s="5" t="s">
        <v>102</v>
      </c>
      <c r="AK63" s="5" t="s">
        <v>103</v>
      </c>
    </row>
    <row r="67" spans="9:35">
      <c r="I67" s="14" t="s">
        <v>0</v>
      </c>
      <c r="J67" s="14"/>
      <c r="K67" s="14"/>
      <c r="L67" s="14"/>
      <c r="M67" s="14"/>
      <c r="N67" s="23" t="s">
        <v>1</v>
      </c>
      <c r="O67" s="23"/>
      <c r="P67" s="23"/>
      <c r="Q67" s="23"/>
      <c r="R67" s="23"/>
      <c r="S67" s="23"/>
      <c r="T67" s="24" t="s">
        <v>2</v>
      </c>
      <c r="U67" s="24"/>
      <c r="V67" s="24" t="s">
        <v>120</v>
      </c>
      <c r="W67" s="24"/>
      <c r="X67" s="24" t="s">
        <v>121</v>
      </c>
      <c r="Y67" s="24"/>
    </row>
    <row r="68" spans="9:35">
      <c r="I68" s="1" t="s">
        <v>3</v>
      </c>
      <c r="J68" s="1" t="s">
        <v>4</v>
      </c>
      <c r="K68" s="3" t="s">
        <v>5</v>
      </c>
      <c r="L68" s="1" t="s">
        <v>6</v>
      </c>
      <c r="M68" s="1" t="s">
        <v>7</v>
      </c>
      <c r="N68" s="23"/>
      <c r="O68" s="23"/>
      <c r="P68" s="23"/>
      <c r="Q68" s="23"/>
      <c r="R68" s="23"/>
      <c r="S68" s="23"/>
      <c r="T68" s="4" t="s">
        <v>8</v>
      </c>
      <c r="U68" s="4" t="s">
        <v>9</v>
      </c>
      <c r="V68" s="4" t="s">
        <v>8</v>
      </c>
      <c r="W68" s="4" t="s">
        <v>9</v>
      </c>
      <c r="X68" s="24" t="s">
        <v>122</v>
      </c>
      <c r="Y68" s="24"/>
      <c r="Z68" t="s">
        <v>123</v>
      </c>
      <c r="AA68" t="s">
        <v>124</v>
      </c>
    </row>
    <row r="69" spans="9:35" ht="45.75" customHeight="1">
      <c r="I69" s="15">
        <v>1.1000000000000001</v>
      </c>
      <c r="J69" s="8" t="s">
        <v>12</v>
      </c>
      <c r="K69" s="5" t="s">
        <v>13</v>
      </c>
      <c r="L69" s="5">
        <v>4</v>
      </c>
      <c r="M69" s="5" t="s">
        <v>125</v>
      </c>
      <c r="N69" s="26" t="s">
        <v>15</v>
      </c>
      <c r="O69" s="26"/>
      <c r="P69" s="26"/>
      <c r="Q69" s="26"/>
      <c r="R69" s="26"/>
      <c r="S69" s="26"/>
      <c r="T69" s="7" t="s">
        <v>16</v>
      </c>
      <c r="U69" s="7" t="s">
        <v>17</v>
      </c>
      <c r="V69" s="7" t="s">
        <v>16</v>
      </c>
      <c r="W69" s="7" t="s">
        <v>17</v>
      </c>
      <c r="X69" s="15">
        <v>4</v>
      </c>
      <c r="Y69" s="15"/>
      <c r="Z69">
        <f>+X69</f>
        <v>4</v>
      </c>
      <c r="AA69">
        <f>L69</f>
        <v>4</v>
      </c>
      <c r="AC69">
        <v>117</v>
      </c>
      <c r="AH69">
        <v>117</v>
      </c>
      <c r="AI69">
        <v>118</v>
      </c>
    </row>
    <row r="70" spans="9:35" ht="27" customHeight="1">
      <c r="I70" s="15"/>
      <c r="J70" s="6" t="s">
        <v>19</v>
      </c>
      <c r="K70" s="5" t="s">
        <v>13</v>
      </c>
      <c r="L70" s="5">
        <v>2</v>
      </c>
      <c r="M70" s="5" t="s">
        <v>125</v>
      </c>
      <c r="N70" s="20" t="s">
        <v>20</v>
      </c>
      <c r="O70" s="20"/>
      <c r="P70" s="20"/>
      <c r="Q70" s="20"/>
      <c r="R70" s="20"/>
      <c r="S70" s="20"/>
      <c r="T70" s="7" t="s">
        <v>16</v>
      </c>
      <c r="U70" s="7" t="s">
        <v>17</v>
      </c>
      <c r="V70" s="7" t="s">
        <v>16</v>
      </c>
      <c r="W70" s="7" t="s">
        <v>17</v>
      </c>
      <c r="X70" s="15">
        <v>3</v>
      </c>
      <c r="Y70" s="15"/>
      <c r="Z70">
        <f>X70+Z69</f>
        <v>7</v>
      </c>
      <c r="AA70">
        <f>+L70+AA69</f>
        <v>6</v>
      </c>
      <c r="AC70">
        <v>116</v>
      </c>
      <c r="AH70">
        <v>116</v>
      </c>
      <c r="AI70">
        <v>116</v>
      </c>
    </row>
    <row r="71" spans="9:35" ht="33" customHeight="1">
      <c r="I71" s="15"/>
      <c r="J71" s="5" t="s">
        <v>21</v>
      </c>
      <c r="K71" s="5" t="s">
        <v>22</v>
      </c>
      <c r="L71" s="5">
        <v>2</v>
      </c>
      <c r="M71" s="5" t="s">
        <v>125</v>
      </c>
      <c r="N71" s="20" t="s">
        <v>23</v>
      </c>
      <c r="O71" s="20"/>
      <c r="P71" s="20"/>
      <c r="Q71" s="20"/>
      <c r="R71" s="20"/>
      <c r="S71" s="20"/>
      <c r="T71" s="7" t="s">
        <v>16</v>
      </c>
      <c r="U71" s="7" t="s">
        <v>17</v>
      </c>
      <c r="V71" s="7" t="s">
        <v>16</v>
      </c>
      <c r="W71" s="7" t="s">
        <v>17</v>
      </c>
      <c r="X71" s="15">
        <v>2</v>
      </c>
      <c r="Y71" s="15"/>
      <c r="Z71">
        <f t="shared" ref="Z71:Z74" si="0">X71+Z70</f>
        <v>9</v>
      </c>
      <c r="AA71">
        <f t="shared" ref="AA71:AA114" si="1">+L71+AA70</f>
        <v>8</v>
      </c>
      <c r="AC71">
        <v>113</v>
      </c>
      <c r="AH71">
        <v>113</v>
      </c>
      <c r="AI71">
        <v>114</v>
      </c>
    </row>
    <row r="72" spans="9:35">
      <c r="I72" s="15">
        <v>1.4</v>
      </c>
      <c r="J72" s="5" t="s">
        <v>24</v>
      </c>
      <c r="K72" s="5" t="s">
        <v>25</v>
      </c>
      <c r="L72" s="5">
        <v>4</v>
      </c>
      <c r="M72" s="5" t="s">
        <v>125</v>
      </c>
      <c r="N72" s="20" t="s">
        <v>26</v>
      </c>
      <c r="O72" s="20"/>
      <c r="P72" s="20"/>
      <c r="Q72" s="20"/>
      <c r="R72" s="20"/>
      <c r="S72" s="20"/>
      <c r="T72" s="7" t="s">
        <v>16</v>
      </c>
      <c r="U72" s="7" t="s">
        <v>17</v>
      </c>
      <c r="V72" s="7" t="s">
        <v>16</v>
      </c>
      <c r="W72" s="7" t="s">
        <v>17</v>
      </c>
      <c r="X72" s="15">
        <v>4</v>
      </c>
      <c r="Y72" s="15"/>
      <c r="Z72">
        <f t="shared" si="0"/>
        <v>13</v>
      </c>
      <c r="AA72">
        <f t="shared" si="1"/>
        <v>12</v>
      </c>
      <c r="AC72">
        <v>109</v>
      </c>
      <c r="AH72">
        <v>109</v>
      </c>
      <c r="AI72">
        <v>110</v>
      </c>
    </row>
    <row r="73" spans="9:35">
      <c r="I73" s="15"/>
      <c r="J73" s="6" t="s">
        <v>27</v>
      </c>
      <c r="K73" s="5" t="s">
        <v>25</v>
      </c>
      <c r="L73" s="5">
        <v>2</v>
      </c>
      <c r="M73" s="5" t="s">
        <v>125</v>
      </c>
      <c r="N73" s="20" t="s">
        <v>28</v>
      </c>
      <c r="O73" s="20"/>
      <c r="P73" s="20"/>
      <c r="Q73" s="20"/>
      <c r="R73" s="20"/>
      <c r="S73" s="20"/>
      <c r="T73" s="7" t="s">
        <v>16</v>
      </c>
      <c r="U73" s="7" t="s">
        <v>17</v>
      </c>
      <c r="V73" s="7" t="s">
        <v>16</v>
      </c>
      <c r="W73" s="7" t="s">
        <v>17</v>
      </c>
      <c r="X73" s="15">
        <v>2</v>
      </c>
      <c r="Y73" s="15"/>
      <c r="Z73">
        <f t="shared" si="0"/>
        <v>15</v>
      </c>
      <c r="AA73">
        <f t="shared" si="1"/>
        <v>14</v>
      </c>
      <c r="AC73">
        <v>107</v>
      </c>
      <c r="AH73">
        <v>107</v>
      </c>
      <c r="AI73">
        <v>108</v>
      </c>
    </row>
    <row r="74" spans="9:35">
      <c r="I74" s="15"/>
      <c r="J74" s="5" t="s">
        <v>30</v>
      </c>
      <c r="K74" s="5" t="s">
        <v>31</v>
      </c>
      <c r="L74" s="5">
        <v>1</v>
      </c>
      <c r="M74" s="5" t="s">
        <v>125</v>
      </c>
      <c r="N74" s="20" t="s">
        <v>32</v>
      </c>
      <c r="O74" s="20"/>
      <c r="P74" s="20"/>
      <c r="Q74" s="20"/>
      <c r="R74" s="20"/>
      <c r="S74" s="20"/>
      <c r="T74" s="7" t="s">
        <v>16</v>
      </c>
      <c r="U74" s="7" t="s">
        <v>17</v>
      </c>
      <c r="V74" s="7" t="s">
        <v>16</v>
      </c>
      <c r="W74" s="7" t="s">
        <v>17</v>
      </c>
      <c r="X74" s="15">
        <v>1</v>
      </c>
      <c r="Y74" s="15"/>
      <c r="Z74">
        <f t="shared" si="0"/>
        <v>16</v>
      </c>
      <c r="AA74">
        <f t="shared" si="1"/>
        <v>15</v>
      </c>
      <c r="AC74">
        <v>105</v>
      </c>
      <c r="AH74">
        <v>105</v>
      </c>
      <c r="AI74">
        <v>106</v>
      </c>
    </row>
    <row r="75" spans="9:35">
      <c r="I75" s="15">
        <v>1.7</v>
      </c>
      <c r="J75" s="5" t="s">
        <v>33</v>
      </c>
      <c r="K75" s="5" t="s">
        <v>31</v>
      </c>
      <c r="L75" s="5">
        <v>4</v>
      </c>
      <c r="M75" s="5" t="s">
        <v>125</v>
      </c>
      <c r="N75" s="20" t="s">
        <v>34</v>
      </c>
      <c r="O75" s="20"/>
      <c r="P75" s="20"/>
      <c r="Q75" s="20"/>
      <c r="R75" s="20"/>
      <c r="S75" s="20"/>
      <c r="T75" s="7">
        <v>45663</v>
      </c>
      <c r="U75" s="7">
        <v>45663</v>
      </c>
      <c r="V75" s="7">
        <v>45663</v>
      </c>
      <c r="W75" s="7">
        <v>45663</v>
      </c>
      <c r="X75" s="15">
        <v>4</v>
      </c>
      <c r="Y75" s="15"/>
      <c r="Z75">
        <f>X75+Z74</f>
        <v>20</v>
      </c>
      <c r="AA75">
        <f t="shared" si="1"/>
        <v>19</v>
      </c>
      <c r="AC75">
        <v>101</v>
      </c>
      <c r="AH75">
        <v>101</v>
      </c>
      <c r="AI75">
        <v>102</v>
      </c>
    </row>
    <row r="76" spans="9:35">
      <c r="I76" s="15"/>
      <c r="J76" s="5" t="s">
        <v>35</v>
      </c>
      <c r="K76" s="5" t="s">
        <v>31</v>
      </c>
      <c r="L76" s="5">
        <v>1</v>
      </c>
      <c r="M76" s="5" t="s">
        <v>125</v>
      </c>
      <c r="N76" s="20" t="s">
        <v>36</v>
      </c>
      <c r="O76" s="20"/>
      <c r="P76" s="20"/>
      <c r="Q76" s="20"/>
      <c r="R76" s="20"/>
      <c r="S76" s="20"/>
      <c r="T76" s="7">
        <v>45663</v>
      </c>
      <c r="U76" s="7">
        <v>45663</v>
      </c>
      <c r="V76" s="7">
        <v>45663</v>
      </c>
      <c r="W76" s="7">
        <v>45663</v>
      </c>
      <c r="X76" s="15">
        <v>1</v>
      </c>
      <c r="Y76" s="15"/>
      <c r="Z76">
        <v>21</v>
      </c>
      <c r="AA76">
        <f t="shared" si="1"/>
        <v>20</v>
      </c>
      <c r="AC76">
        <v>99</v>
      </c>
      <c r="AH76">
        <v>99</v>
      </c>
      <c r="AI76">
        <v>100</v>
      </c>
    </row>
    <row r="77" spans="9:35" ht="30" customHeight="1">
      <c r="I77" s="15"/>
      <c r="J77" s="6" t="s">
        <v>37</v>
      </c>
      <c r="K77" s="5" t="s">
        <v>38</v>
      </c>
      <c r="L77" s="5">
        <v>2</v>
      </c>
      <c r="M77" s="5" t="s">
        <v>125</v>
      </c>
      <c r="N77" s="20" t="s">
        <v>39</v>
      </c>
      <c r="O77" s="20"/>
      <c r="P77" s="20"/>
      <c r="Q77" s="20"/>
      <c r="R77" s="20"/>
      <c r="S77" s="20"/>
      <c r="T77" s="7">
        <v>45663</v>
      </c>
      <c r="U77" s="7">
        <v>45663</v>
      </c>
      <c r="V77" s="7">
        <v>45663</v>
      </c>
      <c r="W77" s="7">
        <v>45663</v>
      </c>
      <c r="X77" s="15">
        <v>2</v>
      </c>
      <c r="Y77" s="15"/>
      <c r="Z77">
        <v>23</v>
      </c>
      <c r="AA77">
        <f t="shared" si="1"/>
        <v>22</v>
      </c>
      <c r="AC77">
        <v>97</v>
      </c>
      <c r="AH77">
        <v>97</v>
      </c>
      <c r="AI77">
        <v>98</v>
      </c>
    </row>
    <row r="78" spans="9:35">
      <c r="I78" s="16">
        <v>1.1000000000000001</v>
      </c>
      <c r="J78" s="5" t="s">
        <v>41</v>
      </c>
      <c r="K78" s="5" t="s">
        <v>42</v>
      </c>
      <c r="L78" s="5">
        <v>4</v>
      </c>
      <c r="M78" s="5" t="s">
        <v>125</v>
      </c>
      <c r="N78" s="20" t="s">
        <v>43</v>
      </c>
      <c r="O78" s="20"/>
      <c r="P78" s="20"/>
      <c r="Q78" s="20"/>
      <c r="R78" s="20"/>
      <c r="S78" s="20"/>
      <c r="T78" s="7">
        <v>45663</v>
      </c>
      <c r="U78" s="7">
        <v>45694</v>
      </c>
      <c r="V78" s="7">
        <v>45663</v>
      </c>
      <c r="W78" s="7">
        <v>45694</v>
      </c>
      <c r="X78" s="15">
        <v>4</v>
      </c>
      <c r="Y78" s="15"/>
      <c r="Z78">
        <v>27</v>
      </c>
      <c r="AA78">
        <f t="shared" si="1"/>
        <v>26</v>
      </c>
      <c r="AC78">
        <v>93</v>
      </c>
      <c r="AH78">
        <v>93</v>
      </c>
      <c r="AI78">
        <v>94</v>
      </c>
    </row>
    <row r="79" spans="9:35">
      <c r="I79" s="16"/>
      <c r="J79" s="6" t="s">
        <v>44</v>
      </c>
      <c r="K79" s="5" t="s">
        <v>42</v>
      </c>
      <c r="L79" s="5">
        <v>1</v>
      </c>
      <c r="M79" s="5" t="s">
        <v>125</v>
      </c>
      <c r="N79" s="20" t="s">
        <v>45</v>
      </c>
      <c r="O79" s="20"/>
      <c r="P79" s="20"/>
      <c r="Q79" s="20"/>
      <c r="R79" s="20"/>
      <c r="S79" s="20"/>
      <c r="T79" s="7">
        <v>45663</v>
      </c>
      <c r="U79" s="7">
        <v>45694</v>
      </c>
      <c r="V79" s="7">
        <v>45663</v>
      </c>
      <c r="W79" s="7">
        <v>45694</v>
      </c>
      <c r="X79" s="15">
        <v>1</v>
      </c>
      <c r="Y79" s="15"/>
      <c r="Z79">
        <v>28</v>
      </c>
      <c r="AA79">
        <f t="shared" si="1"/>
        <v>27</v>
      </c>
      <c r="AC79">
        <v>92</v>
      </c>
      <c r="AH79">
        <v>92</v>
      </c>
      <c r="AI79">
        <v>93</v>
      </c>
    </row>
    <row r="80" spans="9:35">
      <c r="I80" s="16"/>
      <c r="J80" s="5" t="s">
        <v>46</v>
      </c>
      <c r="K80" s="5" t="s">
        <v>22</v>
      </c>
      <c r="L80" s="5">
        <v>4</v>
      </c>
      <c r="M80" s="5" t="s">
        <v>125</v>
      </c>
      <c r="N80" s="20" t="s">
        <v>47</v>
      </c>
      <c r="O80" s="20"/>
      <c r="P80" s="20"/>
      <c r="Q80" s="20"/>
      <c r="R80" s="20"/>
      <c r="S80" s="20"/>
      <c r="T80" s="7">
        <v>45663</v>
      </c>
      <c r="U80" s="7">
        <v>45694</v>
      </c>
      <c r="V80" s="7">
        <v>45663</v>
      </c>
      <c r="W80" s="7">
        <v>45694</v>
      </c>
      <c r="X80" s="15">
        <v>4</v>
      </c>
      <c r="Y80" s="15"/>
      <c r="Z80">
        <v>29</v>
      </c>
      <c r="AA80">
        <f t="shared" si="1"/>
        <v>31</v>
      </c>
      <c r="AC80">
        <v>90</v>
      </c>
      <c r="AH80">
        <v>90</v>
      </c>
      <c r="AI80">
        <v>91</v>
      </c>
    </row>
    <row r="81" spans="9:35">
      <c r="I81" s="15">
        <v>1.1299999999999999</v>
      </c>
      <c r="J81" s="5" t="s">
        <v>48</v>
      </c>
      <c r="K81" s="5" t="s">
        <v>13</v>
      </c>
      <c r="L81" s="5">
        <v>4</v>
      </c>
      <c r="M81" s="5" t="s">
        <v>125</v>
      </c>
      <c r="N81" s="20" t="s">
        <v>49</v>
      </c>
      <c r="O81" s="20"/>
      <c r="P81" s="20"/>
      <c r="Q81" s="20"/>
      <c r="R81" s="20"/>
      <c r="S81" s="20"/>
      <c r="T81" s="7">
        <v>45722</v>
      </c>
      <c r="U81" s="7">
        <v>45722</v>
      </c>
      <c r="V81" s="7">
        <v>45722</v>
      </c>
      <c r="W81" s="7">
        <v>45722</v>
      </c>
      <c r="X81" s="15">
        <v>4</v>
      </c>
      <c r="Y81" s="15"/>
      <c r="Z81">
        <v>33</v>
      </c>
      <c r="AA81">
        <f t="shared" si="1"/>
        <v>35</v>
      </c>
      <c r="AC81">
        <v>86</v>
      </c>
      <c r="AH81">
        <v>86</v>
      </c>
      <c r="AI81">
        <v>87</v>
      </c>
    </row>
    <row r="82" spans="9:35">
      <c r="I82" s="15"/>
      <c r="J82" s="5" t="s">
        <v>50</v>
      </c>
      <c r="K82" s="5" t="s">
        <v>31</v>
      </c>
      <c r="L82" s="5">
        <v>2</v>
      </c>
      <c r="M82" s="5" t="s">
        <v>125</v>
      </c>
      <c r="N82" s="20" t="s">
        <v>51</v>
      </c>
      <c r="O82" s="20"/>
      <c r="P82" s="20"/>
      <c r="Q82" s="20"/>
      <c r="R82" s="20"/>
      <c r="S82" s="20"/>
      <c r="T82" s="7">
        <v>45722</v>
      </c>
      <c r="U82" s="7">
        <v>45722</v>
      </c>
      <c r="V82" s="7">
        <v>45722</v>
      </c>
      <c r="W82" s="7">
        <v>45722</v>
      </c>
      <c r="X82" s="15">
        <v>2</v>
      </c>
      <c r="Y82" s="15"/>
      <c r="Z82">
        <v>35</v>
      </c>
      <c r="AA82">
        <f t="shared" si="1"/>
        <v>37</v>
      </c>
      <c r="AC82">
        <v>85</v>
      </c>
      <c r="AH82">
        <v>85</v>
      </c>
      <c r="AI82">
        <v>86</v>
      </c>
    </row>
    <row r="83" spans="9:35">
      <c r="I83" s="15"/>
      <c r="J83" s="5" t="s">
        <v>52</v>
      </c>
      <c r="K83" s="5" t="s">
        <v>31</v>
      </c>
      <c r="L83" s="5">
        <v>1</v>
      </c>
      <c r="M83" s="5" t="s">
        <v>125</v>
      </c>
      <c r="N83" s="20" t="s">
        <v>51</v>
      </c>
      <c r="O83" s="20"/>
      <c r="P83" s="20"/>
      <c r="Q83" s="20"/>
      <c r="R83" s="20"/>
      <c r="S83" s="20"/>
      <c r="T83" s="7">
        <v>45722</v>
      </c>
      <c r="U83" s="7">
        <v>45722</v>
      </c>
      <c r="V83" s="7">
        <v>45722</v>
      </c>
      <c r="W83" s="7">
        <v>45722</v>
      </c>
      <c r="X83" s="15">
        <v>1</v>
      </c>
      <c r="Y83" s="15"/>
      <c r="Z83">
        <v>36</v>
      </c>
      <c r="AA83">
        <f t="shared" si="1"/>
        <v>38</v>
      </c>
      <c r="AC83">
        <v>83</v>
      </c>
      <c r="AH83">
        <v>83</v>
      </c>
      <c r="AI83">
        <v>84</v>
      </c>
    </row>
    <row r="84" spans="9:35">
      <c r="I84" s="26">
        <v>1.1599999999999999</v>
      </c>
      <c r="J84" s="5" t="s">
        <v>53</v>
      </c>
      <c r="K84" s="5" t="s">
        <v>38</v>
      </c>
      <c r="L84" s="5">
        <v>4</v>
      </c>
      <c r="M84" s="5" t="s">
        <v>125</v>
      </c>
      <c r="N84" s="20" t="s">
        <v>54</v>
      </c>
      <c r="O84" s="20"/>
      <c r="P84" s="20"/>
      <c r="Q84" s="20"/>
      <c r="R84" s="20"/>
      <c r="S84" s="20"/>
      <c r="T84" s="7">
        <v>45722</v>
      </c>
      <c r="U84" s="7">
        <v>45783</v>
      </c>
      <c r="V84" s="7">
        <v>45753</v>
      </c>
      <c r="W84" s="7">
        <v>45783</v>
      </c>
      <c r="X84" s="15">
        <v>4</v>
      </c>
      <c r="Y84" s="15"/>
      <c r="Z84">
        <v>40</v>
      </c>
      <c r="AA84">
        <f t="shared" si="1"/>
        <v>42</v>
      </c>
      <c r="AC84">
        <v>79</v>
      </c>
      <c r="AH84">
        <v>79</v>
      </c>
      <c r="AI84">
        <v>80</v>
      </c>
    </row>
    <row r="85" spans="9:35">
      <c r="I85" s="26"/>
      <c r="J85" s="6" t="s">
        <v>55</v>
      </c>
      <c r="K85" s="5" t="s">
        <v>38</v>
      </c>
      <c r="L85" s="5">
        <v>2</v>
      </c>
      <c r="M85" s="5" t="s">
        <v>125</v>
      </c>
      <c r="N85" s="20" t="s">
        <v>56</v>
      </c>
      <c r="O85" s="20"/>
      <c r="P85" s="20"/>
      <c r="Q85" s="20"/>
      <c r="R85" s="20"/>
      <c r="S85" s="20"/>
      <c r="T85" s="7">
        <v>45753</v>
      </c>
      <c r="U85" s="7">
        <v>45783</v>
      </c>
      <c r="V85" s="7">
        <v>45753</v>
      </c>
      <c r="W85" s="7">
        <v>45783</v>
      </c>
      <c r="X85" s="15">
        <v>2</v>
      </c>
      <c r="Y85" s="15"/>
      <c r="Z85">
        <v>42</v>
      </c>
      <c r="AA85">
        <f t="shared" si="1"/>
        <v>44</v>
      </c>
      <c r="AC85">
        <v>78</v>
      </c>
      <c r="AH85">
        <v>78</v>
      </c>
      <c r="AI85">
        <v>79</v>
      </c>
    </row>
    <row r="86" spans="9:35">
      <c r="I86" s="26"/>
      <c r="J86" s="5" t="s">
        <v>58</v>
      </c>
      <c r="K86" s="5" t="s">
        <v>25</v>
      </c>
      <c r="L86" s="5">
        <v>4</v>
      </c>
      <c r="M86" s="5" t="s">
        <v>125</v>
      </c>
      <c r="N86" s="20" t="s">
        <v>59</v>
      </c>
      <c r="O86" s="20"/>
      <c r="P86" s="20"/>
      <c r="Q86" s="20"/>
      <c r="R86" s="20"/>
      <c r="S86" s="20"/>
      <c r="T86" s="7">
        <v>45753</v>
      </c>
      <c r="U86" s="7">
        <v>45783</v>
      </c>
      <c r="V86" s="7">
        <v>45753</v>
      </c>
      <c r="W86" s="7">
        <v>45783</v>
      </c>
      <c r="X86" s="15">
        <v>4</v>
      </c>
      <c r="Y86" s="15"/>
      <c r="Z86">
        <v>46</v>
      </c>
      <c r="AA86">
        <f t="shared" si="1"/>
        <v>48</v>
      </c>
      <c r="AC86">
        <v>76</v>
      </c>
      <c r="AH86">
        <v>76</v>
      </c>
      <c r="AI86">
        <v>77</v>
      </c>
    </row>
    <row r="87" spans="9:35">
      <c r="I87" s="15">
        <v>1.19</v>
      </c>
      <c r="J87" s="5" t="s">
        <v>60</v>
      </c>
      <c r="K87" s="5" t="s">
        <v>22</v>
      </c>
      <c r="L87" s="5">
        <v>4</v>
      </c>
      <c r="M87" s="5" t="s">
        <v>125</v>
      </c>
      <c r="N87" s="20" t="s">
        <v>61</v>
      </c>
      <c r="O87" s="20"/>
      <c r="P87" s="20"/>
      <c r="Q87" s="20"/>
      <c r="R87" s="20"/>
      <c r="S87" s="20"/>
      <c r="T87" s="7">
        <v>45814</v>
      </c>
      <c r="U87" s="7">
        <v>45844</v>
      </c>
      <c r="V87" s="7">
        <v>45814</v>
      </c>
      <c r="W87" s="7">
        <v>45844</v>
      </c>
      <c r="X87" s="15">
        <v>4</v>
      </c>
      <c r="Y87" s="15"/>
      <c r="Z87">
        <v>50</v>
      </c>
      <c r="AA87">
        <f t="shared" si="1"/>
        <v>52</v>
      </c>
      <c r="AC87">
        <v>72</v>
      </c>
      <c r="AH87">
        <v>72</v>
      </c>
      <c r="AI87">
        <v>73</v>
      </c>
    </row>
    <row r="88" spans="9:35">
      <c r="I88" s="15"/>
      <c r="J88" s="5" t="s">
        <v>63</v>
      </c>
      <c r="K88" s="5" t="s">
        <v>22</v>
      </c>
      <c r="L88" s="5">
        <v>1</v>
      </c>
      <c r="M88" s="5" t="s">
        <v>125</v>
      </c>
      <c r="N88" s="20" t="s">
        <v>64</v>
      </c>
      <c r="O88" s="20"/>
      <c r="P88" s="20"/>
      <c r="Q88" s="20"/>
      <c r="R88" s="20"/>
      <c r="S88" s="20"/>
      <c r="T88" s="7">
        <v>45814</v>
      </c>
      <c r="U88" s="7">
        <v>45844</v>
      </c>
      <c r="V88" s="7">
        <v>45814</v>
      </c>
      <c r="W88" s="7">
        <v>45844</v>
      </c>
      <c r="X88" s="15">
        <v>1</v>
      </c>
      <c r="Y88" s="15"/>
      <c r="Z88">
        <v>51</v>
      </c>
      <c r="AA88">
        <f t="shared" si="1"/>
        <v>53</v>
      </c>
      <c r="AC88">
        <v>71</v>
      </c>
      <c r="AH88">
        <v>71</v>
      </c>
      <c r="AI88">
        <v>72</v>
      </c>
    </row>
    <row r="89" spans="9:35">
      <c r="I89" s="15"/>
      <c r="J89" s="5" t="s">
        <v>65</v>
      </c>
      <c r="K89" s="5" t="s">
        <v>42</v>
      </c>
      <c r="L89" s="5">
        <v>4</v>
      </c>
      <c r="M89" s="5" t="s">
        <v>125</v>
      </c>
      <c r="N89" s="20" t="s">
        <v>66</v>
      </c>
      <c r="O89" s="20"/>
      <c r="P89" s="20"/>
      <c r="Q89" s="20"/>
      <c r="R89" s="20"/>
      <c r="S89" s="20"/>
      <c r="T89" s="7">
        <v>45814</v>
      </c>
      <c r="U89" s="7">
        <v>45844</v>
      </c>
      <c r="V89" s="7">
        <v>45814</v>
      </c>
      <c r="W89" s="7">
        <v>45844</v>
      </c>
      <c r="X89" s="15">
        <v>4</v>
      </c>
      <c r="Y89" s="15"/>
      <c r="Z89">
        <v>55</v>
      </c>
      <c r="AA89">
        <f t="shared" si="1"/>
        <v>57</v>
      </c>
      <c r="AC89">
        <v>67</v>
      </c>
      <c r="AH89">
        <v>67</v>
      </c>
      <c r="AI89">
        <v>69</v>
      </c>
    </row>
    <row r="90" spans="9:35">
      <c r="I90" s="15">
        <v>2.1</v>
      </c>
      <c r="J90" s="5" t="s">
        <v>67</v>
      </c>
      <c r="K90" s="5" t="s">
        <v>38</v>
      </c>
      <c r="L90" s="5">
        <v>4</v>
      </c>
      <c r="M90" s="5" t="s">
        <v>125</v>
      </c>
      <c r="N90" s="20" t="s">
        <v>68</v>
      </c>
      <c r="O90" s="20"/>
      <c r="P90" s="20"/>
      <c r="Q90" s="20"/>
      <c r="R90" s="20"/>
      <c r="S90" s="20"/>
      <c r="T90" s="7">
        <v>45875</v>
      </c>
      <c r="U90" s="7">
        <v>45906</v>
      </c>
      <c r="V90" s="7">
        <v>45906</v>
      </c>
      <c r="W90" s="7">
        <v>45906</v>
      </c>
      <c r="X90" s="15">
        <v>4</v>
      </c>
      <c r="Y90" s="15"/>
      <c r="Z90">
        <v>59</v>
      </c>
      <c r="AA90">
        <f t="shared" si="1"/>
        <v>61</v>
      </c>
      <c r="AC90">
        <v>66</v>
      </c>
      <c r="AH90">
        <v>66</v>
      </c>
      <c r="AI90">
        <v>68</v>
      </c>
    </row>
    <row r="91" spans="9:35">
      <c r="I91" s="15"/>
      <c r="J91" s="5" t="s">
        <v>69</v>
      </c>
      <c r="K91" s="5" t="s">
        <v>38</v>
      </c>
      <c r="L91" s="5">
        <v>2</v>
      </c>
      <c r="M91" s="5" t="s">
        <v>125</v>
      </c>
      <c r="N91" s="20" t="s">
        <v>70</v>
      </c>
      <c r="O91" s="20"/>
      <c r="P91" s="20"/>
      <c r="Q91" s="20"/>
      <c r="R91" s="20"/>
      <c r="S91" s="20"/>
      <c r="T91" s="7">
        <v>45875</v>
      </c>
      <c r="U91" s="7">
        <v>45906</v>
      </c>
      <c r="V91" s="7">
        <v>45906</v>
      </c>
      <c r="W91" s="7">
        <v>45906</v>
      </c>
      <c r="X91" s="15">
        <v>2</v>
      </c>
      <c r="Y91" s="15"/>
      <c r="Z91">
        <v>61</v>
      </c>
      <c r="AA91">
        <f t="shared" si="1"/>
        <v>63</v>
      </c>
      <c r="AC91">
        <v>62</v>
      </c>
      <c r="AH91">
        <v>62</v>
      </c>
      <c r="AI91">
        <v>64</v>
      </c>
    </row>
    <row r="92" spans="9:35">
      <c r="I92" s="15"/>
      <c r="J92" s="5" t="s">
        <v>71</v>
      </c>
      <c r="K92" s="5" t="s">
        <v>42</v>
      </c>
      <c r="L92" s="5">
        <v>1</v>
      </c>
      <c r="M92" s="5" t="s">
        <v>125</v>
      </c>
      <c r="N92" s="20" t="s">
        <v>72</v>
      </c>
      <c r="O92" s="20"/>
      <c r="P92" s="20"/>
      <c r="Q92" s="20"/>
      <c r="R92" s="20"/>
      <c r="S92" s="20"/>
      <c r="T92" s="7">
        <v>45875</v>
      </c>
      <c r="U92" s="7">
        <v>45906</v>
      </c>
      <c r="V92" s="7">
        <v>45906</v>
      </c>
      <c r="W92" s="7">
        <v>45906</v>
      </c>
      <c r="X92" s="15">
        <v>1</v>
      </c>
      <c r="Y92" s="15"/>
      <c r="Z92">
        <v>62</v>
      </c>
      <c r="AA92">
        <f t="shared" si="1"/>
        <v>64</v>
      </c>
      <c r="AC92">
        <v>59</v>
      </c>
      <c r="AH92">
        <v>61</v>
      </c>
      <c r="AI92">
        <v>63</v>
      </c>
    </row>
    <row r="93" spans="9:35">
      <c r="I93" s="15">
        <v>2.2000000000000002</v>
      </c>
      <c r="J93" s="5" t="s">
        <v>73</v>
      </c>
      <c r="K93" s="5" t="s">
        <v>31</v>
      </c>
      <c r="L93" s="5">
        <v>4</v>
      </c>
      <c r="M93" s="5" t="s">
        <v>125</v>
      </c>
      <c r="N93" s="20" t="s">
        <v>74</v>
      </c>
      <c r="O93" s="20"/>
      <c r="P93" s="20"/>
      <c r="Q93" s="20"/>
      <c r="R93" s="20"/>
      <c r="S93" s="20"/>
      <c r="T93" s="7">
        <v>45936</v>
      </c>
      <c r="U93" s="7">
        <v>45967</v>
      </c>
      <c r="V93" s="7">
        <v>45936</v>
      </c>
      <c r="W93" s="7">
        <v>45967</v>
      </c>
      <c r="X93" s="15">
        <v>4</v>
      </c>
      <c r="Y93" s="15"/>
      <c r="Z93">
        <v>66</v>
      </c>
      <c r="AA93">
        <f t="shared" si="1"/>
        <v>68</v>
      </c>
      <c r="AC93">
        <v>55</v>
      </c>
      <c r="AH93">
        <v>59</v>
      </c>
      <c r="AI93">
        <v>61</v>
      </c>
    </row>
    <row r="94" spans="9:35" ht="30.75" customHeight="1">
      <c r="I94" s="15"/>
      <c r="J94" s="5" t="s">
        <v>75</v>
      </c>
      <c r="K94" s="5" t="s">
        <v>31</v>
      </c>
      <c r="L94" s="5">
        <v>1</v>
      </c>
      <c r="M94" s="5" t="s">
        <v>125</v>
      </c>
      <c r="N94" s="20" t="s">
        <v>76</v>
      </c>
      <c r="O94" s="20"/>
      <c r="P94" s="20"/>
      <c r="Q94" s="20"/>
      <c r="R94" s="20"/>
      <c r="S94" s="20"/>
      <c r="T94" s="7">
        <v>45936</v>
      </c>
      <c r="U94" s="7">
        <v>45967</v>
      </c>
      <c r="V94" s="7">
        <v>45936</v>
      </c>
      <c r="W94" s="7">
        <v>45967</v>
      </c>
      <c r="X94" s="15">
        <v>1</v>
      </c>
      <c r="Y94" s="15"/>
      <c r="Z94">
        <v>67</v>
      </c>
      <c r="AA94">
        <f t="shared" si="1"/>
        <v>69</v>
      </c>
      <c r="AC94">
        <v>51</v>
      </c>
      <c r="AH94">
        <v>55</v>
      </c>
      <c r="AI94">
        <v>57</v>
      </c>
    </row>
    <row r="95" spans="9:35">
      <c r="I95" s="15"/>
      <c r="J95" s="6" t="s">
        <v>77</v>
      </c>
      <c r="K95" s="5" t="s">
        <v>42</v>
      </c>
      <c r="L95" s="5">
        <v>3</v>
      </c>
      <c r="M95" s="5" t="s">
        <v>125</v>
      </c>
      <c r="N95" s="20" t="s">
        <v>78</v>
      </c>
      <c r="O95" s="20"/>
      <c r="P95" s="20"/>
      <c r="Q95" s="20"/>
      <c r="R95" s="20"/>
      <c r="S95" s="20"/>
      <c r="T95" s="7">
        <v>45936</v>
      </c>
      <c r="U95" s="7">
        <v>45967</v>
      </c>
      <c r="V95" s="7">
        <v>45936</v>
      </c>
      <c r="W95" s="7">
        <v>45967</v>
      </c>
      <c r="X95" s="15">
        <v>3</v>
      </c>
      <c r="Y95" s="15"/>
      <c r="Z95">
        <v>71</v>
      </c>
      <c r="AA95">
        <f t="shared" si="1"/>
        <v>72</v>
      </c>
      <c r="AC95">
        <v>50</v>
      </c>
      <c r="AH95">
        <v>51</v>
      </c>
      <c r="AI95">
        <v>53</v>
      </c>
    </row>
    <row r="96" spans="9:35">
      <c r="I96" s="15"/>
      <c r="J96" s="5" t="s">
        <v>79</v>
      </c>
      <c r="K96" s="5" t="s">
        <v>25</v>
      </c>
      <c r="L96" s="5">
        <v>1</v>
      </c>
      <c r="M96" s="5" t="s">
        <v>125</v>
      </c>
      <c r="N96" s="20" t="s">
        <v>80</v>
      </c>
      <c r="O96" s="20"/>
      <c r="P96" s="20"/>
      <c r="Q96" s="20"/>
      <c r="R96" s="20"/>
      <c r="S96" s="20"/>
      <c r="T96" s="7">
        <v>45936</v>
      </c>
      <c r="U96" s="7">
        <v>45967</v>
      </c>
      <c r="V96" s="7">
        <v>45936</v>
      </c>
      <c r="W96" s="7">
        <v>45967</v>
      </c>
      <c r="X96" s="15">
        <v>1</v>
      </c>
      <c r="Y96" s="15"/>
      <c r="Z96">
        <v>72</v>
      </c>
      <c r="AA96">
        <f t="shared" si="1"/>
        <v>73</v>
      </c>
      <c r="AC96">
        <v>46</v>
      </c>
      <c r="AH96">
        <v>50</v>
      </c>
      <c r="AI96">
        <v>52</v>
      </c>
    </row>
    <row r="97" spans="9:35">
      <c r="I97" s="15">
        <v>2.4</v>
      </c>
      <c r="J97" s="5" t="s">
        <v>81</v>
      </c>
      <c r="K97" s="5" t="s">
        <v>31</v>
      </c>
      <c r="L97" s="5">
        <v>4</v>
      </c>
      <c r="M97" s="5" t="s">
        <v>125</v>
      </c>
      <c r="N97" s="20" t="s">
        <v>82</v>
      </c>
      <c r="O97" s="20"/>
      <c r="P97" s="20"/>
      <c r="Q97" s="20"/>
      <c r="R97" s="20"/>
      <c r="S97" s="20"/>
      <c r="T97" s="7">
        <v>45997</v>
      </c>
      <c r="U97" s="5" t="s">
        <v>83</v>
      </c>
      <c r="V97" s="7">
        <v>45997</v>
      </c>
      <c r="W97" s="5" t="s">
        <v>83</v>
      </c>
      <c r="X97" s="15">
        <v>4</v>
      </c>
      <c r="Y97" s="15"/>
      <c r="Z97">
        <v>76</v>
      </c>
      <c r="AA97">
        <f t="shared" si="1"/>
        <v>77</v>
      </c>
      <c r="AC97">
        <v>42</v>
      </c>
      <c r="AH97">
        <v>46</v>
      </c>
      <c r="AI97">
        <v>48</v>
      </c>
    </row>
    <row r="98" spans="9:35">
      <c r="I98" s="15"/>
      <c r="J98" s="5" t="s">
        <v>84</v>
      </c>
      <c r="K98" s="5" t="s">
        <v>31</v>
      </c>
      <c r="L98" s="5">
        <v>2</v>
      </c>
      <c r="M98" s="5" t="s">
        <v>125</v>
      </c>
      <c r="N98" s="20" t="s">
        <v>85</v>
      </c>
      <c r="O98" s="20"/>
      <c r="P98" s="20"/>
      <c r="Q98" s="20"/>
      <c r="R98" s="20"/>
      <c r="S98" s="20"/>
      <c r="T98" s="7">
        <v>45997</v>
      </c>
      <c r="U98" s="5" t="s">
        <v>83</v>
      </c>
      <c r="V98" s="7">
        <v>45997</v>
      </c>
      <c r="W98" s="5" t="s">
        <v>83</v>
      </c>
      <c r="X98" s="15">
        <v>2</v>
      </c>
      <c r="Y98" s="15"/>
      <c r="Z98">
        <v>78</v>
      </c>
      <c r="AA98">
        <f t="shared" si="1"/>
        <v>79</v>
      </c>
      <c r="AC98">
        <v>40</v>
      </c>
      <c r="AH98">
        <v>42</v>
      </c>
      <c r="AI98">
        <v>44</v>
      </c>
    </row>
    <row r="99" spans="9:35">
      <c r="I99" s="15"/>
      <c r="J99" s="5" t="s">
        <v>86</v>
      </c>
      <c r="K99" s="5" t="s">
        <v>42</v>
      </c>
      <c r="L99" s="5">
        <v>1</v>
      </c>
      <c r="M99" s="5" t="s">
        <v>125</v>
      </c>
      <c r="N99" s="20" t="s">
        <v>87</v>
      </c>
      <c r="O99" s="20"/>
      <c r="P99" s="20"/>
      <c r="Q99" s="20"/>
      <c r="R99" s="20"/>
      <c r="S99" s="20"/>
      <c r="T99" s="7">
        <v>45997</v>
      </c>
      <c r="U99" s="5" t="s">
        <v>83</v>
      </c>
      <c r="V99" s="7">
        <v>45997</v>
      </c>
      <c r="W99" s="5" t="s">
        <v>83</v>
      </c>
      <c r="X99" s="15">
        <v>1</v>
      </c>
      <c r="Y99" s="15"/>
      <c r="Z99">
        <v>79</v>
      </c>
      <c r="AA99">
        <f t="shared" si="1"/>
        <v>80</v>
      </c>
      <c r="AC99">
        <v>36</v>
      </c>
      <c r="AH99">
        <v>40</v>
      </c>
      <c r="AI99">
        <v>42</v>
      </c>
    </row>
    <row r="100" spans="9:35">
      <c r="I100" s="26">
        <v>4.5</v>
      </c>
      <c r="J100" s="5" t="s">
        <v>88</v>
      </c>
      <c r="K100" s="5" t="s">
        <v>13</v>
      </c>
      <c r="L100" s="5">
        <v>4</v>
      </c>
      <c r="M100" s="5" t="s">
        <v>125</v>
      </c>
      <c r="N100" s="20" t="s">
        <v>89</v>
      </c>
      <c r="O100" s="20"/>
      <c r="P100" s="20"/>
      <c r="Q100" s="20"/>
      <c r="R100" s="20"/>
      <c r="S100" s="20"/>
      <c r="T100" s="5" t="s">
        <v>83</v>
      </c>
      <c r="U100" s="5" t="s">
        <v>90</v>
      </c>
      <c r="V100" s="5" t="s">
        <v>83</v>
      </c>
      <c r="W100" s="5" t="s">
        <v>90</v>
      </c>
      <c r="X100" s="15">
        <v>4</v>
      </c>
      <c r="Y100" s="15"/>
      <c r="Z100">
        <v>83</v>
      </c>
      <c r="AA100">
        <f t="shared" si="1"/>
        <v>84</v>
      </c>
      <c r="AC100">
        <v>35</v>
      </c>
      <c r="AH100">
        <v>36</v>
      </c>
      <c r="AI100">
        <v>38</v>
      </c>
    </row>
    <row r="101" spans="9:35">
      <c r="I101" s="26"/>
      <c r="J101" s="5" t="s">
        <v>91</v>
      </c>
      <c r="K101" s="5" t="s">
        <v>13</v>
      </c>
      <c r="L101" s="5">
        <v>2</v>
      </c>
      <c r="M101" s="5" t="s">
        <v>125</v>
      </c>
      <c r="N101" s="20" t="s">
        <v>92</v>
      </c>
      <c r="O101" s="20"/>
      <c r="P101" s="20"/>
      <c r="Q101" s="20"/>
      <c r="R101" s="20"/>
      <c r="S101" s="20"/>
      <c r="T101" s="5" t="s">
        <v>83</v>
      </c>
      <c r="U101" s="5" t="s">
        <v>90</v>
      </c>
      <c r="V101" s="5" t="s">
        <v>83</v>
      </c>
      <c r="W101" s="5" t="s">
        <v>90</v>
      </c>
      <c r="X101" s="15">
        <v>2</v>
      </c>
      <c r="Y101" s="15"/>
      <c r="Z101">
        <v>85</v>
      </c>
      <c r="AA101">
        <f t="shared" si="1"/>
        <v>86</v>
      </c>
      <c r="AC101">
        <v>33</v>
      </c>
      <c r="AH101">
        <v>35</v>
      </c>
      <c r="AI101">
        <v>37</v>
      </c>
    </row>
    <row r="102" spans="9:35" ht="32.25" customHeight="1">
      <c r="I102" s="26"/>
      <c r="J102" s="5" t="s">
        <v>94</v>
      </c>
      <c r="K102" s="5" t="s">
        <v>25</v>
      </c>
      <c r="L102" s="5">
        <v>1</v>
      </c>
      <c r="M102" s="5" t="s">
        <v>125</v>
      </c>
      <c r="N102" s="20" t="s">
        <v>95</v>
      </c>
      <c r="O102" s="20"/>
      <c r="P102" s="20"/>
      <c r="Q102" s="20"/>
      <c r="R102" s="20"/>
      <c r="S102" s="20"/>
      <c r="T102" s="5" t="s">
        <v>83</v>
      </c>
      <c r="U102" s="5" t="s">
        <v>90</v>
      </c>
      <c r="V102" s="5" t="s">
        <v>83</v>
      </c>
      <c r="W102" s="5" t="s">
        <v>90</v>
      </c>
      <c r="X102" s="15">
        <v>1</v>
      </c>
      <c r="Y102" s="15"/>
      <c r="Z102">
        <v>86</v>
      </c>
      <c r="AA102">
        <f t="shared" si="1"/>
        <v>87</v>
      </c>
      <c r="AC102">
        <v>29</v>
      </c>
      <c r="AH102">
        <v>33</v>
      </c>
      <c r="AI102">
        <v>35</v>
      </c>
    </row>
    <row r="103" spans="9:35">
      <c r="I103" s="15">
        <v>6.5</v>
      </c>
      <c r="J103" s="5" t="s">
        <v>96</v>
      </c>
      <c r="K103" s="5" t="s">
        <v>22</v>
      </c>
      <c r="L103" s="5">
        <v>4</v>
      </c>
      <c r="M103" s="5" t="s">
        <v>125</v>
      </c>
      <c r="N103" s="20" t="s">
        <v>89</v>
      </c>
      <c r="O103" s="20"/>
      <c r="P103" s="20"/>
      <c r="Q103" s="20"/>
      <c r="R103" s="20"/>
      <c r="S103" s="20"/>
      <c r="T103" s="9" t="s">
        <v>90</v>
      </c>
      <c r="U103" s="5" t="s">
        <v>90</v>
      </c>
      <c r="V103" s="9" t="s">
        <v>90</v>
      </c>
      <c r="W103" s="5" t="s">
        <v>90</v>
      </c>
      <c r="X103" s="15">
        <v>4</v>
      </c>
      <c r="Y103" s="15"/>
      <c r="Z103">
        <v>90</v>
      </c>
      <c r="AA103">
        <f t="shared" si="1"/>
        <v>91</v>
      </c>
      <c r="AC103">
        <v>28</v>
      </c>
      <c r="AH103">
        <v>29</v>
      </c>
      <c r="AI103">
        <v>31</v>
      </c>
    </row>
    <row r="104" spans="9:35">
      <c r="I104" s="15"/>
      <c r="J104" s="5" t="s">
        <v>97</v>
      </c>
      <c r="K104" s="5" t="s">
        <v>22</v>
      </c>
      <c r="L104" s="5">
        <v>2</v>
      </c>
      <c r="M104" s="5" t="s">
        <v>125</v>
      </c>
      <c r="N104" s="20" t="s">
        <v>92</v>
      </c>
      <c r="O104" s="20"/>
      <c r="P104" s="20"/>
      <c r="Q104" s="20"/>
      <c r="R104" s="20"/>
      <c r="S104" s="20"/>
      <c r="T104" s="9" t="s">
        <v>90</v>
      </c>
      <c r="U104" s="5" t="s">
        <v>90</v>
      </c>
      <c r="V104" s="9" t="s">
        <v>90</v>
      </c>
      <c r="W104" s="5" t="s">
        <v>90</v>
      </c>
      <c r="X104" s="15">
        <v>2</v>
      </c>
      <c r="Y104" s="15"/>
      <c r="Z104">
        <v>92</v>
      </c>
      <c r="AA104">
        <f t="shared" si="1"/>
        <v>93</v>
      </c>
      <c r="AC104">
        <v>27</v>
      </c>
      <c r="AH104">
        <v>28</v>
      </c>
      <c r="AI104">
        <v>27</v>
      </c>
    </row>
    <row r="105" spans="9:35" ht="36" customHeight="1">
      <c r="I105" s="15"/>
      <c r="J105" s="5" t="s">
        <v>98</v>
      </c>
      <c r="K105" s="5" t="s">
        <v>38</v>
      </c>
      <c r="L105" s="5">
        <v>1</v>
      </c>
      <c r="M105" s="5" t="s">
        <v>125</v>
      </c>
      <c r="N105" s="20" t="s">
        <v>99</v>
      </c>
      <c r="O105" s="20"/>
      <c r="P105" s="20"/>
      <c r="Q105" s="20"/>
      <c r="R105" s="20"/>
      <c r="S105" s="20"/>
      <c r="T105" s="9" t="s">
        <v>90</v>
      </c>
      <c r="U105" s="5" t="s">
        <v>90</v>
      </c>
      <c r="V105" s="9" t="s">
        <v>90</v>
      </c>
      <c r="W105" s="5" t="s">
        <v>90</v>
      </c>
      <c r="X105" s="15">
        <v>1</v>
      </c>
      <c r="Y105" s="15"/>
      <c r="Z105">
        <v>93</v>
      </c>
      <c r="AA105">
        <f t="shared" si="1"/>
        <v>94</v>
      </c>
      <c r="AC105">
        <v>23</v>
      </c>
      <c r="AH105">
        <v>27</v>
      </c>
      <c r="AI105">
        <v>26</v>
      </c>
    </row>
    <row r="106" spans="9:35" ht="21" customHeight="1">
      <c r="I106" s="15">
        <v>7.2</v>
      </c>
      <c r="J106" s="6" t="s">
        <v>100</v>
      </c>
      <c r="K106" s="5" t="s">
        <v>38</v>
      </c>
      <c r="L106" s="5">
        <v>4</v>
      </c>
      <c r="M106" s="5" t="s">
        <v>125</v>
      </c>
      <c r="N106" s="20" t="s">
        <v>101</v>
      </c>
      <c r="O106" s="20"/>
      <c r="P106" s="20"/>
      <c r="Q106" s="20"/>
      <c r="R106" s="20"/>
      <c r="S106" s="20"/>
      <c r="T106" s="5" t="s">
        <v>102</v>
      </c>
      <c r="U106" s="5" t="s">
        <v>103</v>
      </c>
      <c r="V106" s="5" t="s">
        <v>102</v>
      </c>
      <c r="W106" s="5" t="s">
        <v>103</v>
      </c>
      <c r="X106" s="15">
        <v>4</v>
      </c>
      <c r="Y106" s="15"/>
      <c r="Z106">
        <v>97</v>
      </c>
      <c r="AA106">
        <f t="shared" si="1"/>
        <v>98</v>
      </c>
      <c r="AC106">
        <v>21</v>
      </c>
      <c r="AH106">
        <v>23</v>
      </c>
      <c r="AI106">
        <v>22</v>
      </c>
    </row>
    <row r="107" spans="9:35">
      <c r="I107" s="15"/>
      <c r="J107" s="5" t="s">
        <v>104</v>
      </c>
      <c r="K107" s="5" t="s">
        <v>38</v>
      </c>
      <c r="L107" s="5">
        <v>2</v>
      </c>
      <c r="M107" s="5" t="s">
        <v>125</v>
      </c>
      <c r="N107" s="20" t="s">
        <v>105</v>
      </c>
      <c r="O107" s="20"/>
      <c r="P107" s="20"/>
      <c r="Q107" s="20"/>
      <c r="R107" s="20"/>
      <c r="S107" s="20"/>
      <c r="T107" s="5" t="s">
        <v>102</v>
      </c>
      <c r="U107" s="5" t="s">
        <v>103</v>
      </c>
      <c r="V107" s="5" t="s">
        <v>102</v>
      </c>
      <c r="W107" s="5" t="s">
        <v>103</v>
      </c>
      <c r="X107" s="15">
        <v>2</v>
      </c>
      <c r="Y107" s="15"/>
      <c r="Z107">
        <v>99</v>
      </c>
      <c r="AA107">
        <f t="shared" si="1"/>
        <v>100</v>
      </c>
      <c r="AC107">
        <v>20</v>
      </c>
      <c r="AH107">
        <v>21</v>
      </c>
      <c r="AI107">
        <v>20</v>
      </c>
    </row>
    <row r="108" spans="9:35" ht="30" customHeight="1">
      <c r="I108" s="15"/>
      <c r="J108" s="5" t="s">
        <v>106</v>
      </c>
      <c r="K108" s="5" t="s">
        <v>42</v>
      </c>
      <c r="L108" s="5">
        <v>2</v>
      </c>
      <c r="M108" s="5" t="s">
        <v>125</v>
      </c>
      <c r="N108" s="20" t="s">
        <v>107</v>
      </c>
      <c r="O108" s="20"/>
      <c r="P108" s="20"/>
      <c r="Q108" s="20"/>
      <c r="R108" s="20"/>
      <c r="S108" s="20"/>
      <c r="T108" s="5" t="s">
        <v>102</v>
      </c>
      <c r="U108" s="5" t="s">
        <v>103</v>
      </c>
      <c r="V108" s="5" t="s">
        <v>102</v>
      </c>
      <c r="W108" s="5" t="s">
        <v>103</v>
      </c>
      <c r="X108" s="15">
        <v>2</v>
      </c>
      <c r="Y108" s="15"/>
      <c r="Z108">
        <v>101</v>
      </c>
      <c r="AA108">
        <f t="shared" si="1"/>
        <v>102</v>
      </c>
      <c r="AC108">
        <v>16</v>
      </c>
      <c r="AH108">
        <v>20</v>
      </c>
      <c r="AI108">
        <v>19</v>
      </c>
    </row>
    <row r="109" spans="9:35">
      <c r="I109" s="15">
        <v>7.4</v>
      </c>
      <c r="J109" s="5" t="s">
        <v>108</v>
      </c>
      <c r="K109" s="5" t="s">
        <v>25</v>
      </c>
      <c r="L109" s="5">
        <v>4</v>
      </c>
      <c r="M109" s="5" t="s">
        <v>125</v>
      </c>
      <c r="N109" s="20" t="s">
        <v>109</v>
      </c>
      <c r="O109" s="20"/>
      <c r="P109" s="20"/>
      <c r="Q109" s="20"/>
      <c r="R109" s="20"/>
      <c r="S109" s="20"/>
      <c r="T109" s="5" t="s">
        <v>102</v>
      </c>
      <c r="U109" s="5" t="s">
        <v>103</v>
      </c>
      <c r="V109" s="5" t="s">
        <v>102</v>
      </c>
      <c r="W109" s="5" t="s">
        <v>103</v>
      </c>
      <c r="X109" s="15">
        <v>4</v>
      </c>
      <c r="Y109" s="15"/>
      <c r="Z109">
        <v>105</v>
      </c>
      <c r="AA109">
        <f t="shared" si="1"/>
        <v>106</v>
      </c>
      <c r="AC109">
        <v>15</v>
      </c>
      <c r="AH109">
        <v>16</v>
      </c>
      <c r="AI109">
        <v>15</v>
      </c>
    </row>
    <row r="110" spans="9:35">
      <c r="I110" s="15"/>
      <c r="J110" s="5" t="s">
        <v>110</v>
      </c>
      <c r="K110" s="5" t="s">
        <v>25</v>
      </c>
      <c r="L110" s="5">
        <v>2</v>
      </c>
      <c r="M110" s="5" t="s">
        <v>125</v>
      </c>
      <c r="N110" s="20" t="s">
        <v>111</v>
      </c>
      <c r="O110" s="20"/>
      <c r="P110" s="20"/>
      <c r="Q110" s="20"/>
      <c r="R110" s="20"/>
      <c r="S110" s="20"/>
      <c r="T110" s="5" t="s">
        <v>102</v>
      </c>
      <c r="U110" s="5" t="s">
        <v>103</v>
      </c>
      <c r="V110" s="5" t="s">
        <v>102</v>
      </c>
      <c r="W110" s="5" t="s">
        <v>103</v>
      </c>
      <c r="X110" s="15">
        <v>2</v>
      </c>
      <c r="Y110" s="15"/>
      <c r="Z110">
        <v>107</v>
      </c>
      <c r="AA110">
        <f t="shared" si="1"/>
        <v>108</v>
      </c>
      <c r="AC110">
        <v>13</v>
      </c>
      <c r="AH110">
        <v>15</v>
      </c>
      <c r="AI110">
        <v>14</v>
      </c>
    </row>
    <row r="111" spans="9:35" ht="18" customHeight="1">
      <c r="I111" s="15"/>
      <c r="J111" s="5" t="s">
        <v>112</v>
      </c>
      <c r="K111" s="5" t="s">
        <v>13</v>
      </c>
      <c r="L111" s="5">
        <v>2</v>
      </c>
      <c r="M111" s="5" t="s">
        <v>125</v>
      </c>
      <c r="N111" s="20" t="s">
        <v>113</v>
      </c>
      <c r="O111" s="20"/>
      <c r="P111" s="20"/>
      <c r="Q111" s="20"/>
      <c r="R111" s="20"/>
      <c r="S111" s="20"/>
      <c r="T111" s="5" t="s">
        <v>102</v>
      </c>
      <c r="U111" s="5" t="s">
        <v>103</v>
      </c>
      <c r="V111" s="5" t="s">
        <v>102</v>
      </c>
      <c r="W111" s="5" t="s">
        <v>103</v>
      </c>
      <c r="X111" s="15">
        <v>2</v>
      </c>
      <c r="Y111" s="15"/>
      <c r="Z111">
        <v>109</v>
      </c>
      <c r="AA111">
        <f t="shared" si="1"/>
        <v>110</v>
      </c>
      <c r="AC111">
        <v>9</v>
      </c>
      <c r="AH111">
        <v>13</v>
      </c>
      <c r="AI111">
        <v>12</v>
      </c>
    </row>
    <row r="112" spans="9:35">
      <c r="I112" s="15">
        <v>7.5</v>
      </c>
      <c r="J112" s="5" t="s">
        <v>114</v>
      </c>
      <c r="K112" s="5" t="s">
        <v>25</v>
      </c>
      <c r="L112" s="5">
        <v>4</v>
      </c>
      <c r="M112" s="5" t="s">
        <v>125</v>
      </c>
      <c r="N112" s="20" t="s">
        <v>115</v>
      </c>
      <c r="O112" s="20"/>
      <c r="P112" s="20"/>
      <c r="Q112" s="20"/>
      <c r="R112" s="20"/>
      <c r="S112" s="20"/>
      <c r="T112" s="5" t="s">
        <v>102</v>
      </c>
      <c r="U112" s="5" t="s">
        <v>103</v>
      </c>
      <c r="V112" s="5" t="s">
        <v>102</v>
      </c>
      <c r="W112" s="5" t="s">
        <v>103</v>
      </c>
      <c r="X112" s="15">
        <v>4</v>
      </c>
      <c r="Y112" s="15"/>
      <c r="Z112">
        <v>113</v>
      </c>
      <c r="AA112">
        <f t="shared" si="1"/>
        <v>114</v>
      </c>
      <c r="AC112">
        <v>7</v>
      </c>
      <c r="AH112">
        <v>9</v>
      </c>
      <c r="AI112">
        <v>8</v>
      </c>
    </row>
    <row r="113" spans="9:35" ht="28.5" customHeight="1">
      <c r="I113" s="15"/>
      <c r="J113" s="5" t="s">
        <v>116</v>
      </c>
      <c r="K113" s="5" t="s">
        <v>25</v>
      </c>
      <c r="L113" s="5">
        <v>2</v>
      </c>
      <c r="M113" s="5" t="s">
        <v>125</v>
      </c>
      <c r="N113" s="20" t="s">
        <v>117</v>
      </c>
      <c r="O113" s="20"/>
      <c r="P113" s="20"/>
      <c r="Q113" s="20"/>
      <c r="R113" s="20"/>
      <c r="S113" s="20"/>
      <c r="T113" s="5" t="s">
        <v>102</v>
      </c>
      <c r="U113" s="5" t="s">
        <v>103</v>
      </c>
      <c r="V113" s="5" t="s">
        <v>102</v>
      </c>
      <c r="W113" s="5" t="s">
        <v>103</v>
      </c>
      <c r="X113" s="15">
        <v>3</v>
      </c>
      <c r="Y113" s="15"/>
      <c r="Z113">
        <v>116</v>
      </c>
      <c r="AA113">
        <f t="shared" si="1"/>
        <v>116</v>
      </c>
      <c r="AC113">
        <v>4</v>
      </c>
      <c r="AH113">
        <v>7</v>
      </c>
      <c r="AI113">
        <v>6</v>
      </c>
    </row>
    <row r="114" spans="9:35" ht="27.75" customHeight="1">
      <c r="I114" s="15"/>
      <c r="J114" s="5" t="s">
        <v>118</v>
      </c>
      <c r="K114" s="5" t="s">
        <v>22</v>
      </c>
      <c r="L114" s="5">
        <v>2</v>
      </c>
      <c r="M114" s="5" t="s">
        <v>125</v>
      </c>
      <c r="N114" s="20" t="s">
        <v>119</v>
      </c>
      <c r="O114" s="20"/>
      <c r="P114" s="20"/>
      <c r="Q114" s="20"/>
      <c r="R114" s="20"/>
      <c r="S114" s="20"/>
      <c r="T114" s="5" t="s">
        <v>102</v>
      </c>
      <c r="U114" s="5" t="s">
        <v>103</v>
      </c>
      <c r="V114" s="5" t="s">
        <v>102</v>
      </c>
      <c r="W114" s="5" t="s">
        <v>103</v>
      </c>
      <c r="X114" s="15">
        <v>2</v>
      </c>
      <c r="Y114" s="15"/>
      <c r="Z114">
        <v>117</v>
      </c>
      <c r="AA114">
        <f t="shared" si="1"/>
        <v>118</v>
      </c>
      <c r="AH114">
        <v>4</v>
      </c>
      <c r="AI114">
        <v>4</v>
      </c>
    </row>
    <row r="118" spans="9:35" ht="29.25" customHeight="1"/>
    <row r="119" spans="9:35" ht="15" customHeight="1"/>
    <row r="120" spans="9:35" ht="15" customHeight="1"/>
    <row r="122" spans="9:35" ht="15" customHeight="1"/>
    <row r="123" spans="9:35" ht="15" customHeight="1"/>
    <row r="124" spans="9:35" ht="15" customHeight="1"/>
    <row r="126" spans="9:35" ht="15" customHeight="1"/>
    <row r="127" spans="9:35" ht="15" customHeight="1"/>
    <row r="128" spans="9:35" ht="15" customHeight="1"/>
    <row r="130" ht="15" customHeight="1"/>
    <row r="131" ht="15" customHeight="1"/>
    <row r="132" ht="15" customHeight="1"/>
    <row r="134" ht="15" customHeight="1"/>
    <row r="135" ht="15" customHeight="1"/>
    <row r="136" ht="15" customHeight="1"/>
    <row r="138" ht="15" customHeight="1"/>
    <row r="139" ht="15" customHeight="1"/>
    <row r="140" ht="15" customHeight="1"/>
    <row r="142" ht="15" customHeight="1"/>
    <row r="143" ht="15" customHeight="1"/>
    <row r="144" ht="15" customHeight="1"/>
    <row r="146" ht="15" customHeight="1"/>
    <row r="147" ht="15" customHeight="1"/>
    <row r="148" ht="15" customHeight="1"/>
    <row r="150" ht="15" customHeight="1"/>
    <row r="151" ht="15" customHeight="1"/>
    <row r="152" ht="15" customHeight="1"/>
    <row r="153" ht="15" customHeight="1"/>
    <row r="155" ht="15" customHeight="1"/>
    <row r="156" ht="15" customHeight="1"/>
    <row r="157" ht="15" customHeight="1"/>
    <row r="159" ht="15" customHeight="1"/>
    <row r="160" ht="15" customHeight="1"/>
    <row r="161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5" ht="15" customHeight="1"/>
    <row r="176" ht="15" customHeight="1"/>
    <row r="177" ht="15" customHeight="1"/>
  </sheetData>
  <sortState xmlns:xlrd2="http://schemas.microsoft.com/office/spreadsheetml/2017/richdata2" ref="AJ69:AJ114">
    <sortCondition descending="1" ref="AJ69:AJ114"/>
  </sortState>
  <mergeCells count="270">
    <mergeCell ref="AD60:AI60"/>
    <mergeCell ref="X61:X63"/>
    <mergeCell ref="Y61:Y63"/>
    <mergeCell ref="AD61:AI61"/>
    <mergeCell ref="AD62:AI62"/>
    <mergeCell ref="AD63:AI63"/>
    <mergeCell ref="AD52:AI52"/>
    <mergeCell ref="X53:X55"/>
    <mergeCell ref="Y53:Y55"/>
    <mergeCell ref="AD53:AI53"/>
    <mergeCell ref="AD54:AI54"/>
    <mergeCell ref="AD55:AI55"/>
    <mergeCell ref="AD56:AI56"/>
    <mergeCell ref="X57:X59"/>
    <mergeCell ref="Y57:Y59"/>
    <mergeCell ref="AD57:AI57"/>
    <mergeCell ref="AD58:AI58"/>
    <mergeCell ref="AD59:AI59"/>
    <mergeCell ref="AD44:AI44"/>
    <mergeCell ref="X45:X47"/>
    <mergeCell ref="Y45:Y47"/>
    <mergeCell ref="AD45:AI45"/>
    <mergeCell ref="AD46:AI46"/>
    <mergeCell ref="AD47:AI47"/>
    <mergeCell ref="AD48:AI48"/>
    <mergeCell ref="X49:X51"/>
    <mergeCell ref="Y49:Y51"/>
    <mergeCell ref="AD49:AI49"/>
    <mergeCell ref="AD50:AI50"/>
    <mergeCell ref="AD51:AI51"/>
    <mergeCell ref="AD35:AI35"/>
    <mergeCell ref="X36:X39"/>
    <mergeCell ref="Y36:Y39"/>
    <mergeCell ref="AD36:AI36"/>
    <mergeCell ref="AD37:AI37"/>
    <mergeCell ref="AD38:AI38"/>
    <mergeCell ref="AD39:AI39"/>
    <mergeCell ref="AD40:AI40"/>
    <mergeCell ref="X41:X43"/>
    <mergeCell ref="Y41:Y43"/>
    <mergeCell ref="AD41:AI41"/>
    <mergeCell ref="AD42:AI42"/>
    <mergeCell ref="AD43:AI43"/>
    <mergeCell ref="AD27:AI27"/>
    <mergeCell ref="X28:X30"/>
    <mergeCell ref="Y28:Y30"/>
    <mergeCell ref="AD28:AI28"/>
    <mergeCell ref="AD29:AI29"/>
    <mergeCell ref="AD30:AI30"/>
    <mergeCell ref="AD31:AI31"/>
    <mergeCell ref="X32:X34"/>
    <mergeCell ref="Y32:Y34"/>
    <mergeCell ref="AD32:AI32"/>
    <mergeCell ref="AD33:AI33"/>
    <mergeCell ref="AD34:AI34"/>
    <mergeCell ref="AD19:AI19"/>
    <mergeCell ref="X20:X22"/>
    <mergeCell ref="Y20:Y22"/>
    <mergeCell ref="AD20:AI20"/>
    <mergeCell ref="AD21:AI21"/>
    <mergeCell ref="AD22:AI22"/>
    <mergeCell ref="AD23:AI23"/>
    <mergeCell ref="X24:X26"/>
    <mergeCell ref="Y24:Y26"/>
    <mergeCell ref="AD24:AI24"/>
    <mergeCell ref="AD25:AI25"/>
    <mergeCell ref="AD26:AI26"/>
    <mergeCell ref="AD11:AI11"/>
    <mergeCell ref="X12:X14"/>
    <mergeCell ref="Y12:Y14"/>
    <mergeCell ref="AD12:AI12"/>
    <mergeCell ref="AD13:AI13"/>
    <mergeCell ref="AD14:AI14"/>
    <mergeCell ref="AD15:AI15"/>
    <mergeCell ref="X16:X17"/>
    <mergeCell ref="Y16:Y18"/>
    <mergeCell ref="AD16:AI16"/>
    <mergeCell ref="AD17:AI17"/>
    <mergeCell ref="AD18:AI18"/>
    <mergeCell ref="AD2:AI3"/>
    <mergeCell ref="AJ2:AK2"/>
    <mergeCell ref="X4:X6"/>
    <mergeCell ref="Y4:Y6"/>
    <mergeCell ref="AD4:AI4"/>
    <mergeCell ref="AD5:AI5"/>
    <mergeCell ref="AD6:AI6"/>
    <mergeCell ref="AD7:AI7"/>
    <mergeCell ref="X8:X10"/>
    <mergeCell ref="Y8:Y10"/>
    <mergeCell ref="AD8:AI8"/>
    <mergeCell ref="AD9:AI9"/>
    <mergeCell ref="AD10:AI10"/>
    <mergeCell ref="N43:S43"/>
    <mergeCell ref="N44:S44"/>
    <mergeCell ref="N45:S45"/>
    <mergeCell ref="N46:S46"/>
    <mergeCell ref="N47:S47"/>
    <mergeCell ref="N48:S48"/>
    <mergeCell ref="I41:I43"/>
    <mergeCell ref="I44:I46"/>
    <mergeCell ref="I47:I49"/>
    <mergeCell ref="N49:S49"/>
    <mergeCell ref="N37:S37"/>
    <mergeCell ref="N38:S38"/>
    <mergeCell ref="N39:S39"/>
    <mergeCell ref="N40:S40"/>
    <mergeCell ref="N41:S41"/>
    <mergeCell ref="N42:S42"/>
    <mergeCell ref="I35:I37"/>
    <mergeCell ref="I38:I40"/>
    <mergeCell ref="N31:S31"/>
    <mergeCell ref="N32:S32"/>
    <mergeCell ref="N33:S33"/>
    <mergeCell ref="N34:S34"/>
    <mergeCell ref="N35:S35"/>
    <mergeCell ref="N36:S36"/>
    <mergeCell ref="I28:I31"/>
    <mergeCell ref="I32:I34"/>
    <mergeCell ref="N24:S24"/>
    <mergeCell ref="N25:S25"/>
    <mergeCell ref="N26:S26"/>
    <mergeCell ref="N27:S27"/>
    <mergeCell ref="N28:S28"/>
    <mergeCell ref="N29:S29"/>
    <mergeCell ref="N30:S30"/>
    <mergeCell ref="I22:I24"/>
    <mergeCell ref="I25:I27"/>
    <mergeCell ref="N18:S18"/>
    <mergeCell ref="N19:S19"/>
    <mergeCell ref="N20:S20"/>
    <mergeCell ref="N21:S21"/>
    <mergeCell ref="N22:S22"/>
    <mergeCell ref="N23:S23"/>
    <mergeCell ref="I16:I18"/>
    <mergeCell ref="I19:I21"/>
    <mergeCell ref="N12:S12"/>
    <mergeCell ref="N13:S13"/>
    <mergeCell ref="N14:S14"/>
    <mergeCell ref="N15:S15"/>
    <mergeCell ref="N16:S16"/>
    <mergeCell ref="N17:S17"/>
    <mergeCell ref="I10:I12"/>
    <mergeCell ref="I13:I15"/>
    <mergeCell ref="N6:S6"/>
    <mergeCell ref="N7:S7"/>
    <mergeCell ref="N8:S8"/>
    <mergeCell ref="N9:S9"/>
    <mergeCell ref="N10:S10"/>
    <mergeCell ref="N11:S11"/>
    <mergeCell ref="I4:I6"/>
    <mergeCell ref="I7:I9"/>
    <mergeCell ref="N4:S4"/>
    <mergeCell ref="N5:S5"/>
    <mergeCell ref="I2:M2"/>
    <mergeCell ref="N2:S3"/>
    <mergeCell ref="T2:U2"/>
    <mergeCell ref="X2:AC2"/>
    <mergeCell ref="N94:S94"/>
    <mergeCell ref="I84:I86"/>
    <mergeCell ref="N106:S106"/>
    <mergeCell ref="N107:S107"/>
    <mergeCell ref="N114:S114"/>
    <mergeCell ref="N101:S101"/>
    <mergeCell ref="N104:S104"/>
    <mergeCell ref="N112:S112"/>
    <mergeCell ref="I100:I102"/>
    <mergeCell ref="N113:S113"/>
    <mergeCell ref="N109:S109"/>
    <mergeCell ref="N110:S110"/>
    <mergeCell ref="N111:S111"/>
    <mergeCell ref="N100:S100"/>
    <mergeCell ref="N102:S102"/>
    <mergeCell ref="N103:S103"/>
    <mergeCell ref="N105:S105"/>
    <mergeCell ref="I103:I105"/>
    <mergeCell ref="I106:I108"/>
    <mergeCell ref="N108:S108"/>
    <mergeCell ref="I109:I111"/>
    <mergeCell ref="I69:I71"/>
    <mergeCell ref="I72:I74"/>
    <mergeCell ref="N79:S79"/>
    <mergeCell ref="N81:S81"/>
    <mergeCell ref="N83:S83"/>
    <mergeCell ref="N84:S84"/>
    <mergeCell ref="N85:S85"/>
    <mergeCell ref="N86:S86"/>
    <mergeCell ref="N75:S75"/>
    <mergeCell ref="N76:S76"/>
    <mergeCell ref="N78:S78"/>
    <mergeCell ref="I81:I83"/>
    <mergeCell ref="N80:S80"/>
    <mergeCell ref="N74:S74"/>
    <mergeCell ref="N82:S82"/>
    <mergeCell ref="X78:Y78"/>
    <mergeCell ref="X72:Y72"/>
    <mergeCell ref="X73:Y73"/>
    <mergeCell ref="X74:Y74"/>
    <mergeCell ref="X75:Y75"/>
    <mergeCell ref="X86:Y86"/>
    <mergeCell ref="N69:S69"/>
    <mergeCell ref="N70:S70"/>
    <mergeCell ref="N71:S71"/>
    <mergeCell ref="N72:S72"/>
    <mergeCell ref="N73:S73"/>
    <mergeCell ref="N77:S77"/>
    <mergeCell ref="T67:U67"/>
    <mergeCell ref="V67:W67"/>
    <mergeCell ref="N67:S68"/>
    <mergeCell ref="X96:Y96"/>
    <mergeCell ref="X87:Y87"/>
    <mergeCell ref="X88:Y88"/>
    <mergeCell ref="X89:Y89"/>
    <mergeCell ref="X90:Y90"/>
    <mergeCell ref="X94:Y94"/>
    <mergeCell ref="X93:Y93"/>
    <mergeCell ref="X91:Y91"/>
    <mergeCell ref="X67:Y67"/>
    <mergeCell ref="X69:Y69"/>
    <mergeCell ref="X70:Y70"/>
    <mergeCell ref="X71:Y71"/>
    <mergeCell ref="X68:Y68"/>
    <mergeCell ref="X77:Y77"/>
    <mergeCell ref="X84:Y84"/>
    <mergeCell ref="X79:Y79"/>
    <mergeCell ref="X82:Y82"/>
    <mergeCell ref="X81:Y81"/>
    <mergeCell ref="X83:Y83"/>
    <mergeCell ref="X80:Y80"/>
    <mergeCell ref="X76:Y76"/>
    <mergeCell ref="X101:Y101"/>
    <mergeCell ref="X85:Y85"/>
    <mergeCell ref="I97:I99"/>
    <mergeCell ref="N96:S96"/>
    <mergeCell ref="N98:S98"/>
    <mergeCell ref="N99:S99"/>
    <mergeCell ref="N97:S97"/>
    <mergeCell ref="I87:I89"/>
    <mergeCell ref="N89:S89"/>
    <mergeCell ref="I90:I92"/>
    <mergeCell ref="N87:S87"/>
    <mergeCell ref="N88:S88"/>
    <mergeCell ref="N90:S90"/>
    <mergeCell ref="N92:S92"/>
    <mergeCell ref="N95:S95"/>
    <mergeCell ref="N91:S91"/>
    <mergeCell ref="N93:S93"/>
    <mergeCell ref="I67:M67"/>
    <mergeCell ref="I75:I77"/>
    <mergeCell ref="I78:I80"/>
    <mergeCell ref="I93:I96"/>
    <mergeCell ref="I112:I114"/>
    <mergeCell ref="X111:Y111"/>
    <mergeCell ref="X113:Y113"/>
    <mergeCell ref="X114:Y114"/>
    <mergeCell ref="X107:Y107"/>
    <mergeCell ref="X108:Y108"/>
    <mergeCell ref="X109:Y109"/>
    <mergeCell ref="X110:Y110"/>
    <mergeCell ref="X112:Y112"/>
    <mergeCell ref="X103:Y103"/>
    <mergeCell ref="X92:Y92"/>
    <mergeCell ref="X95:Y95"/>
    <mergeCell ref="X105:Y105"/>
    <mergeCell ref="X106:Y106"/>
    <mergeCell ref="X100:Y100"/>
    <mergeCell ref="X102:Y102"/>
    <mergeCell ref="X97:Y97"/>
    <mergeCell ref="X98:Y98"/>
    <mergeCell ref="X99:Y99"/>
    <mergeCell ref="X104:Y10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2025-06-16T01:17:11Z</dcterms:created>
  <dcterms:modified xsi:type="dcterms:W3CDTF">2025-06-18T23:42:38Z</dcterms:modified>
  <cp:category/>
  <cp:contentStatus/>
</cp:coreProperties>
</file>