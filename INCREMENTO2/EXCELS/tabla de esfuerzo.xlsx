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dan\OneDrive\Documentos\GitHub\ING-DE-SOFTWARE\INCREMENTO2\EXCELS\"/>
    </mc:Choice>
  </mc:AlternateContent>
  <xr:revisionPtr revIDLastSave="0" documentId="13_ncr:1_{2246779F-06BF-4BFD-995F-785DD73FFCC7}" xr6:coauthVersionLast="47" xr6:coauthVersionMax="47" xr10:uidLastSave="{00000000-0000-0000-0000-000000000000}"/>
  <bookViews>
    <workbookView xWindow="-120" yWindow="-120" windowWidth="29040" windowHeight="15720" xr2:uid="{B5DFA8D9-4F7C-4AFF-9769-0DB5C5311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1" i="1" l="1" a="1"/>
  <c r="AT11" i="1" s="1"/>
  <c r="AT10" i="1" a="1"/>
  <c r="AT10" i="1" s="1"/>
  <c r="AL8" i="1"/>
  <c r="AL9" i="1"/>
  <c r="AL10" i="1" s="1"/>
  <c r="AP8" i="1"/>
  <c r="AP9" i="1" s="1"/>
  <c r="AD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P10" i="1" l="1"/>
  <c r="AL11" i="1"/>
  <c r="AP11" i="1" l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P75" i="1" s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T7" i="1" a="1"/>
  <c r="AT7" i="1" s="1"/>
  <c r="AL12" i="1"/>
  <c r="AL13" i="1" l="1"/>
  <c r="AL14" i="1" l="1"/>
  <c r="AL15" i="1" l="1"/>
  <c r="AL16" i="1" l="1"/>
  <c r="AL17" i="1" l="1"/>
  <c r="AL18" i="1" l="1"/>
  <c r="AL19" i="1" l="1"/>
  <c r="AL20" i="1" l="1"/>
  <c r="AL21" i="1" l="1"/>
  <c r="AL22" i="1" l="1"/>
  <c r="AL23" i="1" l="1"/>
  <c r="AL24" i="1" l="1"/>
  <c r="AL25" i="1" l="1"/>
  <c r="AL26" i="1" l="1"/>
  <c r="AL27" i="1" l="1"/>
  <c r="AL28" i="1" l="1"/>
  <c r="AL29" i="1" l="1"/>
  <c r="AL30" i="1" l="1"/>
  <c r="AL31" i="1" l="1"/>
  <c r="AL32" i="1" l="1"/>
  <c r="AL33" i="1" l="1"/>
  <c r="AL34" i="1" l="1"/>
  <c r="AL35" i="1" l="1"/>
  <c r="AL36" i="1" l="1"/>
  <c r="AL37" i="1" l="1"/>
  <c r="AL38" i="1" l="1"/>
  <c r="AL39" i="1" l="1"/>
  <c r="AL40" i="1" l="1"/>
  <c r="AL41" i="1" l="1"/>
  <c r="AL42" i="1" l="1"/>
  <c r="AL43" i="1" l="1"/>
  <c r="AL44" i="1" l="1"/>
  <c r="AL45" i="1" l="1"/>
  <c r="AL46" i="1" l="1"/>
  <c r="AL47" i="1" l="1"/>
  <c r="AL48" i="1" l="1"/>
  <c r="AL49" i="1" l="1"/>
  <c r="AL50" i="1" l="1"/>
  <c r="AL51" i="1" l="1"/>
  <c r="AL52" i="1" l="1"/>
  <c r="AL53" i="1" l="1"/>
  <c r="AL54" i="1" l="1"/>
  <c r="AL55" i="1" l="1"/>
  <c r="AL56" i="1" l="1"/>
  <c r="AL57" i="1" l="1"/>
  <c r="AL58" i="1" l="1"/>
  <c r="AL59" i="1" l="1"/>
  <c r="AL60" i="1" l="1"/>
  <c r="AL61" i="1" l="1"/>
  <c r="AL62" i="1" l="1"/>
  <c r="AL63" i="1" l="1"/>
  <c r="AL64" i="1" l="1"/>
  <c r="AL65" i="1" l="1"/>
  <c r="AL66" i="1" l="1"/>
  <c r="AL67" i="1" l="1"/>
  <c r="AL68" i="1" l="1"/>
  <c r="AL69" i="1" l="1"/>
  <c r="AL70" i="1" l="1"/>
  <c r="AL71" i="1" l="1"/>
  <c r="AL72" i="1" l="1"/>
  <c r="AL73" i="1" l="1"/>
  <c r="AL74" i="1" l="1"/>
  <c r="AL75" i="1" l="1"/>
  <c r="AL76" i="1" l="1"/>
  <c r="AL77" i="1" l="1"/>
  <c r="AL78" i="1" l="1"/>
  <c r="AL79" i="1" l="1"/>
  <c r="AL80" i="1" l="1"/>
  <c r="AL81" i="1" l="1"/>
  <c r="AL82" i="1" l="1"/>
  <c r="AL83" i="1" l="1"/>
  <c r="AL84" i="1" l="1"/>
  <c r="AL85" i="1" l="1"/>
  <c r="AL86" i="1" l="1"/>
  <c r="AL87" i="1" l="1"/>
  <c r="AL88" i="1" l="1"/>
  <c r="AL89" i="1" l="1"/>
  <c r="AL90" i="1" l="1"/>
  <c r="AL91" i="1" l="1"/>
  <c r="AL92" i="1" l="1"/>
  <c r="AL93" i="1" l="1"/>
  <c r="AL94" i="1" l="1"/>
  <c r="AT6" i="1" s="1" a="1"/>
  <c r="AT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<sst xmlns="http://schemas.openxmlformats.org/spreadsheetml/2006/main" count="142" uniqueCount="138">
  <si>
    <t xml:space="preserve">tareas pendientes </t>
  </si>
  <si>
    <t>horas pendientes</t>
  </si>
  <si>
    <t>ACTIVIDADES</t>
  </si>
  <si>
    <t>Diseñar campos obligatorios al crear el turno de un empleado</t>
  </si>
  <si>
    <t xml:space="preserve">Permitir que el sistema guarde el turno creado </t>
  </si>
  <si>
    <t>Permitir que el sistema ocupe la información del turno creado para asignaciones y consultas</t>
  </si>
  <si>
    <t>Diseñar y crear la pestaña de departamentos de la empresa</t>
  </si>
  <si>
    <t>Diseñar apartado para agregar departamentos en la empresa</t>
  </si>
  <si>
    <t>agregar departamentos ingresados a la base de datos</t>
  </si>
  <si>
    <t>Diseñar apartado de motivos de permiso de trabajador</t>
  </si>
  <si>
    <t>Guardar el estado del trabajador dependiendo del tipo de permiso</t>
  </si>
  <si>
    <t>Diseñar apartado de tipos de contrato según descripción del contrato</t>
  </si>
  <si>
    <t>Permitir que el sistema agrege el contrato a la base de datos</t>
  </si>
  <si>
    <t>Crear apartado de vacaciones</t>
  </si>
  <si>
    <t>Implementar formulario de tipo de vacaciones</t>
  </si>
  <si>
    <t>El sistema debe agregar departamentos ingresados a la base de datos</t>
  </si>
  <si>
    <t>Crear registro de nuevas sucursales</t>
  </si>
  <si>
    <t>Implementar formulario para crear la sucursal</t>
  </si>
  <si>
    <t>El sistema debe agregar el nuevo registro de sucursal a la base de datos</t>
  </si>
  <si>
    <t>Crear registro de centro de costo</t>
  </si>
  <si>
    <t>El sistema debe agregar el nuevo registro de centro de costo</t>
  </si>
  <si>
    <t>Permitir que el sistema cree un nuevo turno</t>
  </si>
  <si>
    <t>Habilitar una opcion para registrar un turno y guardarlo en la base de datos</t>
  </si>
  <si>
    <t>Permitir que el sistema imprima un documento de ficha de empleado</t>
  </si>
  <si>
    <t>El sistema debe mostrar una vista previa de la ficha del empleado</t>
  </si>
  <si>
    <t>Permitir que el sistema imprima múltiples documentos de ficha de empleados</t>
  </si>
  <si>
    <t>El sistema debe mostrar una vista previa de las fichas de los empleados</t>
  </si>
  <si>
    <t>Permitir guardar o actualizar datos del empleado dentro del sistema</t>
  </si>
  <si>
    <t>Crear boton que permita gaurdar el cambio realizado</t>
  </si>
  <si>
    <t>Permitir que el sistema guarde el cambio en la base de datos</t>
  </si>
  <si>
    <t>Permitir el ingreso de las vacaciones de cada empleado dentro del sistema</t>
  </si>
  <si>
    <t>Permitir que el sistema guarde los días de vacaciones utilizados del empleado</t>
  </si>
  <si>
    <t>Permitir que el sistema guarde los cambios de un turno nuevo</t>
  </si>
  <si>
    <t>Permitir que el sistema actualice el cambio de turno dentro de la base de datos</t>
  </si>
  <si>
    <t>Permitir que el sistema active o desactive el centro de costo</t>
  </si>
  <si>
    <t>El sistema debe cambiar el estado del centro de costo en la base de datos</t>
  </si>
  <si>
    <t>Diseñar un apartado que permita registrar motivos de permisos de trabajadores</t>
  </si>
  <si>
    <t>El sistema debe mostrar al permiso creado</t>
  </si>
  <si>
    <t>Permitir que el sistema desactive o active algún departamento del usuario</t>
  </si>
  <si>
    <t>El sistema debe mostrar los departamentos activados y desactivados</t>
  </si>
  <si>
    <t>Diseñar un apartado para visualizar las fichas de empleados activas</t>
  </si>
  <si>
    <t>Permitir que el sistema pueda eliminar un turno previamente creado</t>
  </si>
  <si>
    <t>El sistema debe eliminar el turno que se quiere eliminar de la base de datos</t>
  </si>
  <si>
    <t xml:space="preserve">Permitir que el sistema seleccione varios permisos a la vez </t>
  </si>
  <si>
    <t>Permitir que el sistema active o desactive motivos de permiso de un trabajador</t>
  </si>
  <si>
    <t>El sistema debe mostrar el motivo del permiso del trabajador</t>
  </si>
  <si>
    <t>Permitir que el sistema active o desactive un tipo de contrato</t>
  </si>
  <si>
    <t>El sistema debe ocultar los contratos desactivados</t>
  </si>
  <si>
    <t>Permitir que el sistema active o desactive un tipo de vacaciones</t>
  </si>
  <si>
    <t>El sistema debe cambiar el estado del tipo de vacación de la base de datos</t>
  </si>
  <si>
    <t>Permitir que el sistema active o desactive una sucursal</t>
  </si>
  <si>
    <t>El sistema debe cambiar el estado de la sucursal en la base de datos</t>
  </si>
  <si>
    <t>Diseñar casillas de filtrado de búsqueda</t>
  </si>
  <si>
    <t>El sistema debe cargar las casillas de filtrado de búsqueda</t>
  </si>
  <si>
    <t>El sistema debe permitir asignar turnos a los trabajadores</t>
  </si>
  <si>
    <t>El turno debe quedar asignado al trabajador y guardado en la base de datos</t>
  </si>
  <si>
    <t>El sistema debe permitir la edición o actualización de cambios realizados a los turnos de los trabajadores</t>
  </si>
  <si>
    <t>El sitema debe guardar los cambios realizados dentro de la base de datos</t>
  </si>
  <si>
    <t>Permitir que el sistema muestre una lista de empleados para asignación de vacaciones</t>
  </si>
  <si>
    <t>El sistema debe contar con casillas de selección</t>
  </si>
  <si>
    <t>Permitir al sistema definir de forma detallada los dias de vacaciones otorgados a empleado</t>
  </si>
  <si>
    <t>Diseñar un apartado que muestre la lista de empleados con vacaciones</t>
  </si>
  <si>
    <t>El sistema debe tener apartados con información del empleado, dias de vacaciones y fecha inicio y fecha final</t>
  </si>
  <si>
    <t>Permitir que el sistema guarde los cambios realizados de la asignación de las vacaciones</t>
  </si>
  <si>
    <t>Permitir que el sistema pueda imprimir un documento de vacaciones registradas</t>
  </si>
  <si>
    <t>El sistema debe generar el documento en formato PDF</t>
  </si>
  <si>
    <t>Permitir que el sistema elimine vacaciones asignadas a un empleado</t>
  </si>
  <si>
    <t>El sistema debe eliminar las vacaciones asignadas de la base de datos</t>
  </si>
  <si>
    <t>Permitir que el sistema busque información según el filtro aplicado</t>
  </si>
  <si>
    <t>El sistema debe desplegar una tabla con los datos filtrados por la fecha seleccionada</t>
  </si>
  <si>
    <t xml:space="preserve">Permitir que el sistema filtre informes de asistencia por dias </t>
  </si>
  <si>
    <t>Permitir al sistema poder realizar búsquedas filtradas por algunos datos específicos</t>
  </si>
  <si>
    <t>El sistema debe entregar la búsqueda según los filtros aplicados</t>
  </si>
  <si>
    <t>Permitir que el sistema filtre datos de empleados</t>
  </si>
  <si>
    <t>Permitir el cambio de turno de los trabajadores dentro del sistema</t>
  </si>
  <si>
    <t>Permitir que el sistema guarde el cambio de turno</t>
  </si>
  <si>
    <t>Diseñar un apartado para definir el horario de un trabajador</t>
  </si>
  <si>
    <t>El sistema debe mostrar la información del horario dentro del turno</t>
  </si>
  <si>
    <t>Permitir que el sistema genere un resumen detallado de los horarios del trabajador</t>
  </si>
  <si>
    <t>Permitir al administrador acceso a los reportes de asistencia del empleado</t>
  </si>
  <si>
    <t>Permitir que el administrador acceda a los reportes según criterio de búsquedas</t>
  </si>
  <si>
    <t>Permitir al sistema crear informes de asistencia</t>
  </si>
  <si>
    <t>Permitir que el sistema edite horarios y fechas de un turno</t>
  </si>
  <si>
    <t xml:space="preserve">El sistema debe mostrar el cambio realizado </t>
  </si>
  <si>
    <t>El sistema debe guardar el informe de asistencia creado</t>
  </si>
  <si>
    <t>Creando los departamentos de la empresa</t>
  </si>
  <si>
    <t>Creando motivo de permiso</t>
  </si>
  <si>
    <t>Creando tipos de contratos con su correspondiente descripción</t>
  </si>
  <si>
    <t>Creando un tipo de vacaciones</t>
  </si>
  <si>
    <t>Creando una sucursal</t>
  </si>
  <si>
    <t>Creando nuevo centro de costo</t>
  </si>
  <si>
    <t>Creando turnos con campos obligatorios</t>
  </si>
  <si>
    <t>Generando un nuevo turno</t>
  </si>
  <si>
    <t>Imprimiendo solo una ficha de empleado</t>
  </si>
  <si>
    <t>Imprimiendo múltiples fichas de empleado</t>
  </si>
  <si>
    <t>Guardando datos de empleado</t>
  </si>
  <si>
    <t>Permitir que el sistema exporte un informe de asistencia</t>
  </si>
  <si>
    <t>Exportando informe de asistencia</t>
  </si>
  <si>
    <t>Generando un resumen de registro de horario de una jornada</t>
  </si>
  <si>
    <t>Asignando vacaciones a empleados</t>
  </si>
  <si>
    <t>Guardando cambios de turno</t>
  </si>
  <si>
    <t>Cambiando el estado de un centro de costo</t>
  </si>
  <si>
    <t xml:space="preserve">Registrando motivos de permisos </t>
  </si>
  <si>
    <t>Cambiando el estado de un departamento</t>
  </si>
  <si>
    <t>Visualizando las fichas que están activas actualmente</t>
  </si>
  <si>
    <t>Eliminando un turno deseado</t>
  </si>
  <si>
    <t>Seleccionando permisos aprobados</t>
  </si>
  <si>
    <t xml:space="preserve">Activando/Desactivando un motivo de permiso </t>
  </si>
  <si>
    <t>Cambiando el estado de un tipo de contrato</t>
  </si>
  <si>
    <t>Cambiando el estado de un tipo de vacaciones</t>
  </si>
  <si>
    <t>Cambiando el estado de una sucursal</t>
  </si>
  <si>
    <t xml:space="preserve">Creando casilla para filtro de búsqueda </t>
  </si>
  <si>
    <t>Editando la descripción del turno</t>
  </si>
  <si>
    <t>Asignando el turno a un trabajador</t>
  </si>
  <si>
    <t>Cambiando el turno de los trabajadores</t>
  </si>
  <si>
    <t>Visualizando lista de empleados con casilla para asignar vacaciones</t>
  </si>
  <si>
    <t>Definiendo días a otorgar para vacaciones</t>
  </si>
  <si>
    <t>Visualizando listado de empleados de vacaciones</t>
  </si>
  <si>
    <t>Guardando cambios de vacaciones</t>
  </si>
  <si>
    <t>Imprimiendo vacaciones de empleado</t>
  </si>
  <si>
    <t>Eliminando vacaciones asignadas</t>
  </si>
  <si>
    <t xml:space="preserve">Filtrando informe de asistencia </t>
  </si>
  <si>
    <t>Filtrando informes de asistencia por fecha</t>
  </si>
  <si>
    <t>Filtrando búsqueda de permisos</t>
  </si>
  <si>
    <t>Visualizando casillas de filtración</t>
  </si>
  <si>
    <t>Definiendo horario de trabajo</t>
  </si>
  <si>
    <t>Revisando informes de asistencia</t>
  </si>
  <si>
    <t>Editando turnos</t>
  </si>
  <si>
    <t>Generando nuevo informe de asistencia</t>
  </si>
  <si>
    <t>Permitir modificar información sobre las vacaciones de cada empleado dentro del sistema</t>
  </si>
  <si>
    <t>Permitir que el sistema guarde las modificaciones de la información sobre las vacaciones de cada empleado</t>
  </si>
  <si>
    <t>Permitir que el usuario pueda asignar permisos de ausencia a un trabajador</t>
  </si>
  <si>
    <t>Permitir al sistema debe poder realizar búsquedas filtradas por algunos datos específicos</t>
  </si>
  <si>
    <t>El sistema debe contar con un apartado para definir informacion de las vacaciones</t>
  </si>
  <si>
    <t>Editando vacaciones de empleados</t>
  </si>
  <si>
    <t>Ingresando permisos de ausencia</t>
  </si>
  <si>
    <t>real</t>
  </si>
  <si>
    <t>estimada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</si>
</sst>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D18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8">
    <xf numFmtId="0" fontId="0" fillId="0" borderId="0" xfId="0"/>
    <xf numFmtId="16" fontId="0" fillId="2" borderId="1" xfId="0" applyNumberForma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0" fillId="0" borderId="1" xfId="0" applyBorder="1"/>
    <xf numFmtId="0" fontId="0" fillId="5" borderId="1" xfId="0" applyFill="1" applyBorder="1"/>
    <xf numFmtId="0" fontId="0" fillId="0" borderId="6" xfId="0" applyBorder="1" applyAlignment="1">
      <alignment horizontal="left" vertical="center"/>
    </xf>
    <xf numFmtId="0" fontId="0" fillId="0" borderId="8" xfId="0" applyBorder="1"/>
    <xf numFmtId="0" fontId="0" fillId="2" borderId="6" xfId="0" applyFill="1" applyBorder="1"/>
    <xf numFmtId="0" fontId="0" fillId="0" borderId="6" xfId="0" applyBorder="1"/>
    <xf numFmtId="0" fontId="0" fillId="2" borderId="9" xfId="0" applyFill="1" applyBorder="1"/>
    <xf numFmtId="1" fontId="0" fillId="5" borderId="1" xfId="0" applyNumberFormat="1" applyFill="1" applyBorder="1"/>
    <xf numFmtId="1" fontId="0" fillId="2" borderId="7" xfId="0" applyNumberFormat="1" applyFill="1" applyBorder="1"/>
    <xf numFmtId="1" fontId="0" fillId="0" borderId="0" xfId="0" applyNumberFormat="1"/>
    <xf numFmtId="1" fontId="0" fillId="2" borderId="5" xfId="0" applyNumberFormat="1" applyFill="1" applyBorder="1"/>
    <xf numFmtId="16" fontId="0" fillId="2" borderId="7" xfId="0" applyNumberFormat="1" applyFill="1" applyBorder="1"/>
    <xf numFmtId="1" fontId="0" fillId="0" borderId="6" xfId="0" applyNumberFormat="1" applyBorder="1"/>
    <xf numFmtId="1" fontId="0" fillId="2" borderId="1" xfId="0" applyNumberFormat="1" applyFill="1" applyBorder="1"/>
    <xf numFmtId="0" fontId="0" fillId="5" borderId="0" xfId="0" applyFill="1"/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5" borderId="2" xfId="0" applyFill="1" applyBorder="1"/>
    <xf numFmtId="0" fontId="1" fillId="2" borderId="11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5" xfId="0" applyFill="1" applyBorder="1" applyAlignment="1">
      <alignment horizontal="left" vertical="center"/>
    </xf>
    <xf numFmtId="0" fontId="0" fillId="2" borderId="15" xfId="0" applyFill="1" applyBorder="1"/>
    <xf numFmtId="0" fontId="1" fillId="2" borderId="13" xfId="0" applyFont="1" applyFill="1" applyBorder="1" applyAlignment="1">
      <alignment horizontal="left"/>
    </xf>
    <xf numFmtId="0" fontId="0" fillId="2" borderId="14" xfId="0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2" borderId="17" xfId="0" applyFill="1" applyBorder="1"/>
    <xf numFmtId="1" fontId="0" fillId="5" borderId="2" xfId="0" applyNumberFormat="1" applyFill="1" applyBorder="1"/>
    <xf numFmtId="0" fontId="2" fillId="4" borderId="12" xfId="0" applyFont="1" applyFill="1" applyBorder="1"/>
    <xf numFmtId="0" fontId="2" fillId="4" borderId="16" xfId="0" applyFont="1" applyFill="1" applyBorder="1"/>
    <xf numFmtId="0" fontId="0" fillId="0" borderId="2" xfId="0" applyBorder="1"/>
    <xf numFmtId="0" fontId="1" fillId="0" borderId="10" xfId="0" applyFont="1" applyBorder="1" applyAlignment="1">
      <alignment horizontal="center"/>
    </xf>
    <xf numFmtId="0" fontId="2" fillId="4" borderId="11" xfId="0" applyFont="1" applyFill="1" applyBorder="1" applyAlignment="1">
      <alignment vertical="center" wrapText="1"/>
    </xf>
    <xf numFmtId="0" fontId="0" fillId="2" borderId="18" xfId="0" applyFill="1" applyBorder="1"/>
    <xf numFmtId="0" fontId="2" fillId="4" borderId="6" xfId="0" applyFont="1" applyFill="1" applyBorder="1"/>
    <xf numFmtId="0" fontId="0" fillId="2" borderId="12" xfId="0" applyFill="1" applyBorder="1"/>
    <xf numFmtId="0" fontId="0" fillId="2" borderId="13" xfId="0" applyFill="1" applyBorder="1"/>
    <xf numFmtId="0" fontId="0" fillId="4" borderId="14" xfId="0" applyFill="1" applyBorder="1"/>
    <xf numFmtId="0" fontId="0" fillId="0" borderId="19" xfId="0" applyBorder="1"/>
    <xf numFmtId="0" fontId="0" fillId="0" borderId="6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7" borderId="6" xfId="0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7" borderId="6" xfId="0" applyFill="1" applyBorder="1" applyAlignment="1">
      <alignment horizontal="left"/>
    </xf>
    <xf numFmtId="0" fontId="0" fillId="7" borderId="22" xfId="0" applyFill="1" applyBorder="1" applyAlignment="1">
      <alignment horizontal="left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4400"/>
              <a:t>BURN-UP INCREMENTO</a:t>
            </a:r>
            <a:r>
              <a:rPr lang="es-CL" sz="4400" baseline="0"/>
              <a:t> 2</a:t>
            </a:r>
            <a:endParaRPr lang="es-CL" sz="4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ESFUERZO ESTIMADO ACUMULADO HH</c:v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Hoja1!$AT$6:$EB$6</c:f>
              <c:numCache>
                <c:formatCode>0</c:formatCode>
                <c:ptCount val="8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36</c:v>
                </c:pt>
                <c:pt idx="17">
                  <c:v>40</c:v>
                </c:pt>
                <c:pt idx="18">
                  <c:v>43</c:v>
                </c:pt>
                <c:pt idx="19">
                  <c:v>46</c:v>
                </c:pt>
                <c:pt idx="20">
                  <c:v>49</c:v>
                </c:pt>
                <c:pt idx="21">
                  <c:v>52</c:v>
                </c:pt>
                <c:pt idx="22">
                  <c:v>55</c:v>
                </c:pt>
                <c:pt idx="23">
                  <c:v>57</c:v>
                </c:pt>
                <c:pt idx="24">
                  <c:v>59</c:v>
                </c:pt>
                <c:pt idx="25">
                  <c:v>62</c:v>
                </c:pt>
                <c:pt idx="26">
                  <c:v>64</c:v>
                </c:pt>
                <c:pt idx="27">
                  <c:v>66</c:v>
                </c:pt>
                <c:pt idx="28">
                  <c:v>68</c:v>
                </c:pt>
                <c:pt idx="29">
                  <c:v>71</c:v>
                </c:pt>
                <c:pt idx="30">
                  <c:v>73</c:v>
                </c:pt>
                <c:pt idx="31">
                  <c:v>76</c:v>
                </c:pt>
                <c:pt idx="32">
                  <c:v>78</c:v>
                </c:pt>
                <c:pt idx="33">
                  <c:v>80</c:v>
                </c:pt>
                <c:pt idx="34">
                  <c:v>82</c:v>
                </c:pt>
                <c:pt idx="35">
                  <c:v>85</c:v>
                </c:pt>
                <c:pt idx="36">
                  <c:v>88</c:v>
                </c:pt>
                <c:pt idx="37">
                  <c:v>92</c:v>
                </c:pt>
                <c:pt idx="38">
                  <c:v>94</c:v>
                </c:pt>
                <c:pt idx="39">
                  <c:v>97</c:v>
                </c:pt>
                <c:pt idx="40">
                  <c:v>100</c:v>
                </c:pt>
                <c:pt idx="41">
                  <c:v>102</c:v>
                </c:pt>
                <c:pt idx="42">
                  <c:v>104</c:v>
                </c:pt>
                <c:pt idx="43">
                  <c:v>106</c:v>
                </c:pt>
                <c:pt idx="44">
                  <c:v>108</c:v>
                </c:pt>
                <c:pt idx="45">
                  <c:v>110</c:v>
                </c:pt>
                <c:pt idx="46">
                  <c:v>112</c:v>
                </c:pt>
                <c:pt idx="47">
                  <c:v>116</c:v>
                </c:pt>
                <c:pt idx="48">
                  <c:v>120</c:v>
                </c:pt>
                <c:pt idx="49">
                  <c:v>124</c:v>
                </c:pt>
                <c:pt idx="50">
                  <c:v>128</c:v>
                </c:pt>
                <c:pt idx="51">
                  <c:v>132</c:v>
                </c:pt>
                <c:pt idx="52">
                  <c:v>136</c:v>
                </c:pt>
                <c:pt idx="53">
                  <c:v>140</c:v>
                </c:pt>
                <c:pt idx="54">
                  <c:v>142</c:v>
                </c:pt>
                <c:pt idx="55">
                  <c:v>144</c:v>
                </c:pt>
                <c:pt idx="56">
                  <c:v>146</c:v>
                </c:pt>
                <c:pt idx="57">
                  <c:v>148</c:v>
                </c:pt>
                <c:pt idx="58">
                  <c:v>150</c:v>
                </c:pt>
                <c:pt idx="59">
                  <c:v>152</c:v>
                </c:pt>
                <c:pt idx="60">
                  <c:v>160</c:v>
                </c:pt>
                <c:pt idx="61">
                  <c:v>168</c:v>
                </c:pt>
                <c:pt idx="62">
                  <c:v>173</c:v>
                </c:pt>
                <c:pt idx="63">
                  <c:v>176</c:v>
                </c:pt>
                <c:pt idx="64">
                  <c:v>179</c:v>
                </c:pt>
                <c:pt idx="65">
                  <c:v>181</c:v>
                </c:pt>
                <c:pt idx="66">
                  <c:v>183</c:v>
                </c:pt>
                <c:pt idx="67">
                  <c:v>185</c:v>
                </c:pt>
                <c:pt idx="68">
                  <c:v>187</c:v>
                </c:pt>
                <c:pt idx="69">
                  <c:v>189</c:v>
                </c:pt>
                <c:pt idx="70">
                  <c:v>191</c:v>
                </c:pt>
                <c:pt idx="71">
                  <c:v>193</c:v>
                </c:pt>
                <c:pt idx="72">
                  <c:v>195</c:v>
                </c:pt>
                <c:pt idx="73">
                  <c:v>197</c:v>
                </c:pt>
                <c:pt idx="74">
                  <c:v>199</c:v>
                </c:pt>
                <c:pt idx="75">
                  <c:v>202</c:v>
                </c:pt>
                <c:pt idx="76">
                  <c:v>204</c:v>
                </c:pt>
                <c:pt idx="77">
                  <c:v>206</c:v>
                </c:pt>
                <c:pt idx="78">
                  <c:v>209</c:v>
                </c:pt>
                <c:pt idx="79">
                  <c:v>213</c:v>
                </c:pt>
                <c:pt idx="80">
                  <c:v>215</c:v>
                </c:pt>
                <c:pt idx="81">
                  <c:v>219</c:v>
                </c:pt>
                <c:pt idx="82">
                  <c:v>222</c:v>
                </c:pt>
                <c:pt idx="83">
                  <c:v>226</c:v>
                </c:pt>
                <c:pt idx="84">
                  <c:v>230</c:v>
                </c:pt>
                <c:pt idx="85">
                  <c:v>233</c:v>
                </c:pt>
                <c:pt idx="86">
                  <c:v>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2E-4F25-9318-58ABBD64B32A}"/>
            </c:ext>
          </c:extLst>
        </c:ser>
        <c:ser>
          <c:idx val="1"/>
          <c:order val="1"/>
          <c:tx>
            <c:v>ESFUERZO REAL ACUMULADO HH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Hoja1!$AT$7:$EB$7</c:f>
              <c:numCache>
                <c:formatCode>0</c:formatCode>
                <c:ptCount val="87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35</c:v>
                </c:pt>
                <c:pt idx="17">
                  <c:v>38</c:v>
                </c:pt>
                <c:pt idx="18">
                  <c:v>41</c:v>
                </c:pt>
                <c:pt idx="19">
                  <c:v>43</c:v>
                </c:pt>
                <c:pt idx="20">
                  <c:v>46</c:v>
                </c:pt>
                <c:pt idx="21">
                  <c:v>49</c:v>
                </c:pt>
                <c:pt idx="22">
                  <c:v>52</c:v>
                </c:pt>
                <c:pt idx="23">
                  <c:v>55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65</c:v>
                </c:pt>
                <c:pt idx="28">
                  <c:v>68</c:v>
                </c:pt>
                <c:pt idx="29">
                  <c:v>71</c:v>
                </c:pt>
                <c:pt idx="30">
                  <c:v>75</c:v>
                </c:pt>
                <c:pt idx="31">
                  <c:v>77</c:v>
                </c:pt>
                <c:pt idx="32">
                  <c:v>79</c:v>
                </c:pt>
                <c:pt idx="33">
                  <c:v>81</c:v>
                </c:pt>
                <c:pt idx="34">
                  <c:v>84</c:v>
                </c:pt>
                <c:pt idx="35">
                  <c:v>86</c:v>
                </c:pt>
                <c:pt idx="36">
                  <c:v>89</c:v>
                </c:pt>
                <c:pt idx="37">
                  <c:v>92</c:v>
                </c:pt>
                <c:pt idx="38">
                  <c:v>95</c:v>
                </c:pt>
                <c:pt idx="39">
                  <c:v>98</c:v>
                </c:pt>
                <c:pt idx="40">
                  <c:v>100</c:v>
                </c:pt>
                <c:pt idx="41">
                  <c:v>102</c:v>
                </c:pt>
                <c:pt idx="42">
                  <c:v>105</c:v>
                </c:pt>
                <c:pt idx="43">
                  <c:v>109</c:v>
                </c:pt>
                <c:pt idx="44">
                  <c:v>111</c:v>
                </c:pt>
                <c:pt idx="45">
                  <c:v>115</c:v>
                </c:pt>
                <c:pt idx="46">
                  <c:v>119</c:v>
                </c:pt>
                <c:pt idx="47">
                  <c:v>122</c:v>
                </c:pt>
                <c:pt idx="48">
                  <c:v>125</c:v>
                </c:pt>
                <c:pt idx="49">
                  <c:v>127</c:v>
                </c:pt>
                <c:pt idx="50">
                  <c:v>129</c:v>
                </c:pt>
                <c:pt idx="51">
                  <c:v>132</c:v>
                </c:pt>
                <c:pt idx="52">
                  <c:v>135</c:v>
                </c:pt>
                <c:pt idx="53">
                  <c:v>137</c:v>
                </c:pt>
                <c:pt idx="54">
                  <c:v>140</c:v>
                </c:pt>
                <c:pt idx="55">
                  <c:v>143</c:v>
                </c:pt>
                <c:pt idx="56">
                  <c:v>146</c:v>
                </c:pt>
                <c:pt idx="57">
                  <c:v>149</c:v>
                </c:pt>
                <c:pt idx="58">
                  <c:v>151</c:v>
                </c:pt>
                <c:pt idx="59">
                  <c:v>153</c:v>
                </c:pt>
                <c:pt idx="60">
                  <c:v>157</c:v>
                </c:pt>
                <c:pt idx="61">
                  <c:v>161</c:v>
                </c:pt>
                <c:pt idx="62">
                  <c:v>165</c:v>
                </c:pt>
                <c:pt idx="63">
                  <c:v>168</c:v>
                </c:pt>
                <c:pt idx="64">
                  <c:v>171</c:v>
                </c:pt>
                <c:pt idx="65">
                  <c:v>173</c:v>
                </c:pt>
                <c:pt idx="66">
                  <c:v>175</c:v>
                </c:pt>
                <c:pt idx="67">
                  <c:v>177</c:v>
                </c:pt>
                <c:pt idx="68">
                  <c:v>179</c:v>
                </c:pt>
                <c:pt idx="69">
                  <c:v>181</c:v>
                </c:pt>
                <c:pt idx="70">
                  <c:v>184</c:v>
                </c:pt>
                <c:pt idx="71">
                  <c:v>187</c:v>
                </c:pt>
                <c:pt idx="72">
                  <c:v>190</c:v>
                </c:pt>
                <c:pt idx="73">
                  <c:v>193</c:v>
                </c:pt>
                <c:pt idx="74">
                  <c:v>196</c:v>
                </c:pt>
                <c:pt idx="75">
                  <c:v>199</c:v>
                </c:pt>
                <c:pt idx="76">
                  <c:v>201</c:v>
                </c:pt>
                <c:pt idx="77">
                  <c:v>203</c:v>
                </c:pt>
                <c:pt idx="78">
                  <c:v>206</c:v>
                </c:pt>
                <c:pt idx="79">
                  <c:v>210</c:v>
                </c:pt>
                <c:pt idx="80">
                  <c:v>212</c:v>
                </c:pt>
                <c:pt idx="81">
                  <c:v>216</c:v>
                </c:pt>
                <c:pt idx="82">
                  <c:v>219</c:v>
                </c:pt>
                <c:pt idx="83">
                  <c:v>222</c:v>
                </c:pt>
                <c:pt idx="84">
                  <c:v>225</c:v>
                </c:pt>
                <c:pt idx="85">
                  <c:v>228</c:v>
                </c:pt>
                <c:pt idx="86">
                  <c:v>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2E-4F25-9318-58ABBD64B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696783"/>
        <c:axId val="1347697263"/>
      </c:lineChart>
      <c:catAx>
        <c:axId val="134769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7697263"/>
        <c:crosses val="autoZero"/>
        <c:auto val="1"/>
        <c:lblAlgn val="ctr"/>
        <c:lblOffset val="100"/>
        <c:noMultiLvlLbl val="0"/>
      </c:catAx>
      <c:valAx>
        <c:axId val="134769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7696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2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0.71643353584298475"/>
          <c:y val="0.70350948959701409"/>
          <c:w val="0.28313914432024667"/>
          <c:h val="0.271228679018136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 sz="4000" baseline="0"/>
              <a:t>BURN-DOWN INCREMENTO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1.3846402163718456E-2"/>
          <c:y val="1.7005386698988722E-2"/>
          <c:w val="0.98541490900895001"/>
          <c:h val="0.91185067715921064"/>
        </c:manualLayout>
      </c:layout>
      <c:lineChart>
        <c:grouping val="standard"/>
        <c:varyColors val="0"/>
        <c:ser>
          <c:idx val="0"/>
          <c:order val="0"/>
          <c:tx>
            <c:v>ESFUERZO REAL ACUMULADO HH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Hoja1!$AT$10:$EB$10</c:f>
              <c:numCache>
                <c:formatCode>General</c:formatCode>
                <c:ptCount val="87"/>
                <c:pt idx="0">
                  <c:v>231</c:v>
                </c:pt>
                <c:pt idx="1">
                  <c:v>228</c:v>
                </c:pt>
                <c:pt idx="2">
                  <c:v>225</c:v>
                </c:pt>
                <c:pt idx="3">
                  <c:v>222</c:v>
                </c:pt>
                <c:pt idx="4">
                  <c:v>219</c:v>
                </c:pt>
                <c:pt idx="5">
                  <c:v>216</c:v>
                </c:pt>
                <c:pt idx="6">
                  <c:v>212</c:v>
                </c:pt>
                <c:pt idx="7">
                  <c:v>210</c:v>
                </c:pt>
                <c:pt idx="8">
                  <c:v>206</c:v>
                </c:pt>
                <c:pt idx="9">
                  <c:v>203</c:v>
                </c:pt>
                <c:pt idx="10">
                  <c:v>201</c:v>
                </c:pt>
                <c:pt idx="11">
                  <c:v>199</c:v>
                </c:pt>
                <c:pt idx="12">
                  <c:v>196</c:v>
                </c:pt>
                <c:pt idx="13">
                  <c:v>193</c:v>
                </c:pt>
                <c:pt idx="14">
                  <c:v>190</c:v>
                </c:pt>
                <c:pt idx="15">
                  <c:v>187</c:v>
                </c:pt>
                <c:pt idx="16">
                  <c:v>184</c:v>
                </c:pt>
                <c:pt idx="17">
                  <c:v>181</c:v>
                </c:pt>
                <c:pt idx="18">
                  <c:v>179</c:v>
                </c:pt>
                <c:pt idx="19">
                  <c:v>177</c:v>
                </c:pt>
                <c:pt idx="20">
                  <c:v>175</c:v>
                </c:pt>
                <c:pt idx="21">
                  <c:v>173</c:v>
                </c:pt>
                <c:pt idx="22">
                  <c:v>171</c:v>
                </c:pt>
                <c:pt idx="23">
                  <c:v>168</c:v>
                </c:pt>
                <c:pt idx="24">
                  <c:v>165</c:v>
                </c:pt>
                <c:pt idx="25">
                  <c:v>161</c:v>
                </c:pt>
                <c:pt idx="26">
                  <c:v>157</c:v>
                </c:pt>
                <c:pt idx="27">
                  <c:v>153</c:v>
                </c:pt>
                <c:pt idx="28">
                  <c:v>151</c:v>
                </c:pt>
                <c:pt idx="29">
                  <c:v>149</c:v>
                </c:pt>
                <c:pt idx="30">
                  <c:v>146</c:v>
                </c:pt>
                <c:pt idx="31">
                  <c:v>143</c:v>
                </c:pt>
                <c:pt idx="32">
                  <c:v>140</c:v>
                </c:pt>
                <c:pt idx="33">
                  <c:v>137</c:v>
                </c:pt>
                <c:pt idx="34">
                  <c:v>135</c:v>
                </c:pt>
                <c:pt idx="35">
                  <c:v>132</c:v>
                </c:pt>
                <c:pt idx="36">
                  <c:v>129</c:v>
                </c:pt>
                <c:pt idx="37">
                  <c:v>127</c:v>
                </c:pt>
                <c:pt idx="38">
                  <c:v>125</c:v>
                </c:pt>
                <c:pt idx="39">
                  <c:v>122</c:v>
                </c:pt>
                <c:pt idx="40">
                  <c:v>119</c:v>
                </c:pt>
                <c:pt idx="41">
                  <c:v>115</c:v>
                </c:pt>
                <c:pt idx="42">
                  <c:v>111</c:v>
                </c:pt>
                <c:pt idx="43">
                  <c:v>109</c:v>
                </c:pt>
                <c:pt idx="44">
                  <c:v>105</c:v>
                </c:pt>
                <c:pt idx="45">
                  <c:v>102</c:v>
                </c:pt>
                <c:pt idx="46">
                  <c:v>100</c:v>
                </c:pt>
                <c:pt idx="47">
                  <c:v>98</c:v>
                </c:pt>
                <c:pt idx="48">
                  <c:v>95</c:v>
                </c:pt>
                <c:pt idx="49">
                  <c:v>92</c:v>
                </c:pt>
                <c:pt idx="50">
                  <c:v>89</c:v>
                </c:pt>
                <c:pt idx="51">
                  <c:v>86</c:v>
                </c:pt>
                <c:pt idx="52">
                  <c:v>84</c:v>
                </c:pt>
                <c:pt idx="53">
                  <c:v>81</c:v>
                </c:pt>
                <c:pt idx="54">
                  <c:v>79</c:v>
                </c:pt>
                <c:pt idx="55">
                  <c:v>77</c:v>
                </c:pt>
                <c:pt idx="56">
                  <c:v>75</c:v>
                </c:pt>
                <c:pt idx="57">
                  <c:v>71</c:v>
                </c:pt>
                <c:pt idx="58">
                  <c:v>68</c:v>
                </c:pt>
                <c:pt idx="59">
                  <c:v>65</c:v>
                </c:pt>
                <c:pt idx="60">
                  <c:v>62</c:v>
                </c:pt>
                <c:pt idx="61">
                  <c:v>60</c:v>
                </c:pt>
                <c:pt idx="62">
                  <c:v>58</c:v>
                </c:pt>
                <c:pt idx="63">
                  <c:v>55</c:v>
                </c:pt>
                <c:pt idx="64">
                  <c:v>52</c:v>
                </c:pt>
                <c:pt idx="65">
                  <c:v>49</c:v>
                </c:pt>
                <c:pt idx="66">
                  <c:v>46</c:v>
                </c:pt>
                <c:pt idx="67">
                  <c:v>43</c:v>
                </c:pt>
                <c:pt idx="68">
                  <c:v>41</c:v>
                </c:pt>
                <c:pt idx="69">
                  <c:v>38</c:v>
                </c:pt>
                <c:pt idx="70">
                  <c:v>35</c:v>
                </c:pt>
                <c:pt idx="71">
                  <c:v>32</c:v>
                </c:pt>
                <c:pt idx="72">
                  <c:v>30</c:v>
                </c:pt>
                <c:pt idx="73">
                  <c:v>28</c:v>
                </c:pt>
                <c:pt idx="74">
                  <c:v>26</c:v>
                </c:pt>
                <c:pt idx="75">
                  <c:v>24</c:v>
                </c:pt>
                <c:pt idx="76">
                  <c:v>22</c:v>
                </c:pt>
                <c:pt idx="77">
                  <c:v>20</c:v>
                </c:pt>
                <c:pt idx="78">
                  <c:v>18</c:v>
                </c:pt>
                <c:pt idx="79">
                  <c:v>16</c:v>
                </c:pt>
                <c:pt idx="80">
                  <c:v>14</c:v>
                </c:pt>
                <c:pt idx="81">
                  <c:v>12</c:v>
                </c:pt>
                <c:pt idx="82">
                  <c:v>10</c:v>
                </c:pt>
                <c:pt idx="83">
                  <c:v>8</c:v>
                </c:pt>
                <c:pt idx="84">
                  <c:v>6</c:v>
                </c:pt>
                <c:pt idx="85">
                  <c:v>4</c:v>
                </c:pt>
                <c:pt idx="8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C9-4B27-B0CD-9FB0D4B1FB2A}"/>
            </c:ext>
          </c:extLst>
        </c:ser>
        <c:ser>
          <c:idx val="1"/>
          <c:order val="1"/>
          <c:tx>
            <c:v>ESFUERZO ESTIMADO ACUMULADO HH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Hoja1!$AT$11:$EB$11</c:f>
              <c:numCache>
                <c:formatCode>General</c:formatCode>
                <c:ptCount val="87"/>
                <c:pt idx="0">
                  <c:v>235</c:v>
                </c:pt>
                <c:pt idx="1">
                  <c:v>233</c:v>
                </c:pt>
                <c:pt idx="2">
                  <c:v>230</c:v>
                </c:pt>
                <c:pt idx="3">
                  <c:v>226</c:v>
                </c:pt>
                <c:pt idx="4">
                  <c:v>222</c:v>
                </c:pt>
                <c:pt idx="5">
                  <c:v>219</c:v>
                </c:pt>
                <c:pt idx="6">
                  <c:v>215</c:v>
                </c:pt>
                <c:pt idx="7">
                  <c:v>213</c:v>
                </c:pt>
                <c:pt idx="8">
                  <c:v>209</c:v>
                </c:pt>
                <c:pt idx="9">
                  <c:v>206</c:v>
                </c:pt>
                <c:pt idx="10">
                  <c:v>204</c:v>
                </c:pt>
                <c:pt idx="11">
                  <c:v>202</c:v>
                </c:pt>
                <c:pt idx="12">
                  <c:v>199</c:v>
                </c:pt>
                <c:pt idx="13">
                  <c:v>197</c:v>
                </c:pt>
                <c:pt idx="14">
                  <c:v>195</c:v>
                </c:pt>
                <c:pt idx="15">
                  <c:v>193</c:v>
                </c:pt>
                <c:pt idx="16">
                  <c:v>191</c:v>
                </c:pt>
                <c:pt idx="17">
                  <c:v>189</c:v>
                </c:pt>
                <c:pt idx="18">
                  <c:v>187</c:v>
                </c:pt>
                <c:pt idx="19">
                  <c:v>185</c:v>
                </c:pt>
                <c:pt idx="20">
                  <c:v>183</c:v>
                </c:pt>
                <c:pt idx="21">
                  <c:v>181</c:v>
                </c:pt>
                <c:pt idx="22">
                  <c:v>179</c:v>
                </c:pt>
                <c:pt idx="23">
                  <c:v>176</c:v>
                </c:pt>
                <c:pt idx="24">
                  <c:v>173</c:v>
                </c:pt>
                <c:pt idx="25">
                  <c:v>168</c:v>
                </c:pt>
                <c:pt idx="26">
                  <c:v>160</c:v>
                </c:pt>
                <c:pt idx="27">
                  <c:v>152</c:v>
                </c:pt>
                <c:pt idx="28">
                  <c:v>150</c:v>
                </c:pt>
                <c:pt idx="29">
                  <c:v>148</c:v>
                </c:pt>
                <c:pt idx="30">
                  <c:v>146</c:v>
                </c:pt>
                <c:pt idx="31">
                  <c:v>144</c:v>
                </c:pt>
                <c:pt idx="32">
                  <c:v>142</c:v>
                </c:pt>
                <c:pt idx="33">
                  <c:v>140</c:v>
                </c:pt>
                <c:pt idx="34">
                  <c:v>136</c:v>
                </c:pt>
                <c:pt idx="35">
                  <c:v>132</c:v>
                </c:pt>
                <c:pt idx="36">
                  <c:v>128</c:v>
                </c:pt>
                <c:pt idx="37">
                  <c:v>124</c:v>
                </c:pt>
                <c:pt idx="38">
                  <c:v>120</c:v>
                </c:pt>
                <c:pt idx="39">
                  <c:v>116</c:v>
                </c:pt>
                <c:pt idx="40">
                  <c:v>112</c:v>
                </c:pt>
                <c:pt idx="41">
                  <c:v>110</c:v>
                </c:pt>
                <c:pt idx="42">
                  <c:v>108</c:v>
                </c:pt>
                <c:pt idx="43">
                  <c:v>106</c:v>
                </c:pt>
                <c:pt idx="44">
                  <c:v>104</c:v>
                </c:pt>
                <c:pt idx="45">
                  <c:v>102</c:v>
                </c:pt>
                <c:pt idx="46">
                  <c:v>100</c:v>
                </c:pt>
                <c:pt idx="47">
                  <c:v>97</c:v>
                </c:pt>
                <c:pt idx="48">
                  <c:v>94</c:v>
                </c:pt>
                <c:pt idx="49">
                  <c:v>92</c:v>
                </c:pt>
                <c:pt idx="50">
                  <c:v>88</c:v>
                </c:pt>
                <c:pt idx="51">
                  <c:v>85</c:v>
                </c:pt>
                <c:pt idx="52">
                  <c:v>82</c:v>
                </c:pt>
                <c:pt idx="53">
                  <c:v>80</c:v>
                </c:pt>
                <c:pt idx="54">
                  <c:v>78</c:v>
                </c:pt>
                <c:pt idx="55">
                  <c:v>76</c:v>
                </c:pt>
                <c:pt idx="56">
                  <c:v>73</c:v>
                </c:pt>
                <c:pt idx="57">
                  <c:v>71</c:v>
                </c:pt>
                <c:pt idx="58">
                  <c:v>68</c:v>
                </c:pt>
                <c:pt idx="59">
                  <c:v>66</c:v>
                </c:pt>
                <c:pt idx="60">
                  <c:v>64</c:v>
                </c:pt>
                <c:pt idx="61">
                  <c:v>62</c:v>
                </c:pt>
                <c:pt idx="62">
                  <c:v>59</c:v>
                </c:pt>
                <c:pt idx="63">
                  <c:v>57</c:v>
                </c:pt>
                <c:pt idx="64">
                  <c:v>55</c:v>
                </c:pt>
                <c:pt idx="65">
                  <c:v>52</c:v>
                </c:pt>
                <c:pt idx="66">
                  <c:v>49</c:v>
                </c:pt>
                <c:pt idx="67">
                  <c:v>46</c:v>
                </c:pt>
                <c:pt idx="68">
                  <c:v>43</c:v>
                </c:pt>
                <c:pt idx="69">
                  <c:v>40</c:v>
                </c:pt>
                <c:pt idx="70">
                  <c:v>36</c:v>
                </c:pt>
                <c:pt idx="71">
                  <c:v>32</c:v>
                </c:pt>
                <c:pt idx="72">
                  <c:v>30</c:v>
                </c:pt>
                <c:pt idx="73">
                  <c:v>28</c:v>
                </c:pt>
                <c:pt idx="74">
                  <c:v>26</c:v>
                </c:pt>
                <c:pt idx="75">
                  <c:v>24</c:v>
                </c:pt>
                <c:pt idx="76">
                  <c:v>22</c:v>
                </c:pt>
                <c:pt idx="77">
                  <c:v>20</c:v>
                </c:pt>
                <c:pt idx="78">
                  <c:v>18</c:v>
                </c:pt>
                <c:pt idx="79">
                  <c:v>16</c:v>
                </c:pt>
                <c:pt idx="80">
                  <c:v>14</c:v>
                </c:pt>
                <c:pt idx="81">
                  <c:v>12</c:v>
                </c:pt>
                <c:pt idx="82">
                  <c:v>10</c:v>
                </c:pt>
                <c:pt idx="83">
                  <c:v>8</c:v>
                </c:pt>
                <c:pt idx="84">
                  <c:v>6</c:v>
                </c:pt>
                <c:pt idx="85">
                  <c:v>4</c:v>
                </c:pt>
                <c:pt idx="8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C9-4B27-B0CD-9FB0D4B1F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7753423"/>
        <c:axId val="1347753903"/>
      </c:lineChart>
      <c:catAx>
        <c:axId val="13477534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7753903"/>
        <c:crosses val="autoZero"/>
        <c:auto val="1"/>
        <c:lblAlgn val="ctr"/>
        <c:lblOffset val="100"/>
        <c:noMultiLvlLbl val="0"/>
      </c:catAx>
      <c:valAx>
        <c:axId val="13477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4775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3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3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legendEntry>
      <c:layout>
        <c:manualLayout>
          <c:xMode val="edge"/>
          <c:yMode val="edge"/>
          <c:x val="2.6168022625980614E-2"/>
          <c:y val="0.68215930095721111"/>
          <c:w val="0.26696220036207385"/>
          <c:h val="0.26472292257243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457200</xdr:colOff>
      <xdr:row>21</xdr:row>
      <xdr:rowOff>142873</xdr:rowOff>
    </xdr:from>
    <xdr:to>
      <xdr:col>116</xdr:col>
      <xdr:colOff>119062</xdr:colOff>
      <xdr:row>100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B6D2162-9E4D-097D-ABFE-123374C20B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70</xdr:col>
      <xdr:colOff>381000</xdr:colOff>
      <xdr:row>111</xdr:row>
      <xdr:rowOff>171448</xdr:rowOff>
    </xdr:from>
    <xdr:to>
      <xdr:col>115</xdr:col>
      <xdr:colOff>476250</xdr:colOff>
      <xdr:row>198</xdr:row>
      <xdr:rowOff>95250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F369C8-42BB-0B35-2902-9BF14FD40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0A99-216B-4C42-A18C-D73C10A53F41}">
  <dimension ref="B1:EB142"/>
  <sheetViews>
    <sheetView tabSelected="1" zoomScale="25" zoomScaleNormal="25" workbookViewId="0">
      <selection activeCell="DO173" sqref="DO173"/>
    </sheetView>
  </sheetViews>
  <sheetFormatPr baseColWidth="10" defaultRowHeight="15" x14ac:dyDescent="0.25"/>
  <cols>
    <col min="1" max="1" width="31.7109375" customWidth="1"/>
    <col min="2" max="2" width="111.5703125" bestFit="1" customWidth="1"/>
  </cols>
  <sheetData>
    <row r="1" spans="2:132" x14ac:dyDescent="0.25">
      <c r="C1" s="1">
        <v>45855</v>
      </c>
      <c r="D1" s="1">
        <v>45856</v>
      </c>
      <c r="E1" s="1">
        <v>45857</v>
      </c>
      <c r="F1" s="1">
        <v>45858</v>
      </c>
      <c r="G1" s="1">
        <v>45859</v>
      </c>
      <c r="H1" s="1">
        <v>45860</v>
      </c>
      <c r="I1" s="1">
        <v>45861</v>
      </c>
      <c r="J1" s="1">
        <v>45862</v>
      </c>
      <c r="K1" s="1">
        <v>45863</v>
      </c>
      <c r="L1" s="1">
        <v>45864</v>
      </c>
      <c r="M1" s="1">
        <v>45904</v>
      </c>
      <c r="N1" s="1">
        <v>45905</v>
      </c>
      <c r="O1" s="1">
        <v>45906</v>
      </c>
      <c r="P1" s="1">
        <v>45907</v>
      </c>
      <c r="Q1" s="1">
        <v>45908</v>
      </c>
      <c r="R1" s="1">
        <v>45909</v>
      </c>
      <c r="S1" s="1">
        <v>45910</v>
      </c>
      <c r="T1" s="1">
        <v>45911</v>
      </c>
      <c r="U1" s="1">
        <v>45912</v>
      </c>
      <c r="V1" s="1">
        <v>45913</v>
      </c>
      <c r="W1" s="1">
        <v>45914</v>
      </c>
      <c r="X1" s="1">
        <v>45915</v>
      </c>
      <c r="Y1" s="1">
        <v>45916</v>
      </c>
      <c r="Z1" s="1">
        <v>45917</v>
      </c>
      <c r="AA1" s="1">
        <v>45918</v>
      </c>
      <c r="AB1" s="1">
        <v>45919</v>
      </c>
      <c r="AC1" s="19">
        <v>45920</v>
      </c>
      <c r="AD1" s="19">
        <v>45921</v>
      </c>
    </row>
    <row r="2" spans="2:132" x14ac:dyDescent="0.25">
      <c r="B2" s="3" t="s">
        <v>0</v>
      </c>
      <c r="C2" s="4">
        <v>87</v>
      </c>
      <c r="D2" s="2">
        <v>84</v>
      </c>
      <c r="E2" s="2">
        <v>84</v>
      </c>
      <c r="F2" s="2">
        <v>82</v>
      </c>
      <c r="G2" s="2">
        <v>82</v>
      </c>
      <c r="H2" s="2">
        <v>82</v>
      </c>
      <c r="I2" s="2">
        <v>76</v>
      </c>
      <c r="J2" s="2">
        <v>74</v>
      </c>
      <c r="K2" s="2">
        <v>74</v>
      </c>
      <c r="L2" s="2">
        <v>74</v>
      </c>
      <c r="M2">
        <v>74</v>
      </c>
      <c r="N2" s="2">
        <v>74</v>
      </c>
      <c r="O2" s="2">
        <v>71</v>
      </c>
      <c r="P2" s="2">
        <v>71</v>
      </c>
      <c r="Q2" s="2">
        <v>69</v>
      </c>
      <c r="R2" s="2">
        <v>69</v>
      </c>
      <c r="S2" s="2">
        <v>65</v>
      </c>
      <c r="T2" s="2">
        <v>65</v>
      </c>
      <c r="U2" s="2">
        <v>65</v>
      </c>
      <c r="V2" s="2">
        <v>60</v>
      </c>
      <c r="W2" s="2">
        <v>57</v>
      </c>
      <c r="X2" s="2">
        <v>57</v>
      </c>
      <c r="Y2" s="2">
        <v>41</v>
      </c>
      <c r="Z2" s="2">
        <v>37</v>
      </c>
      <c r="AA2" s="21">
        <v>19</v>
      </c>
      <c r="AB2" s="18">
        <v>14</v>
      </c>
      <c r="AC2" s="13">
        <v>14</v>
      </c>
      <c r="AD2" s="13">
        <v>14</v>
      </c>
      <c r="AE2">
        <v>0</v>
      </c>
    </row>
    <row r="3" spans="2:132" x14ac:dyDescent="0.25">
      <c r="B3" s="3" t="s">
        <v>1</v>
      </c>
      <c r="C3" s="14">
        <v>231</v>
      </c>
      <c r="D3" s="16">
        <v>225</v>
      </c>
      <c r="E3" s="16">
        <v>225</v>
      </c>
      <c r="F3" s="16">
        <v>221</v>
      </c>
      <c r="G3" s="16">
        <v>217</v>
      </c>
      <c r="H3" s="16">
        <v>217</v>
      </c>
      <c r="I3" s="16">
        <v>205</v>
      </c>
      <c r="J3" s="16">
        <v>201</v>
      </c>
      <c r="K3" s="16">
        <v>203</v>
      </c>
      <c r="L3" s="16">
        <v>201</v>
      </c>
      <c r="M3" s="16">
        <v>201</v>
      </c>
      <c r="N3" s="16">
        <v>201</v>
      </c>
      <c r="O3" s="16">
        <v>194</v>
      </c>
      <c r="P3" s="16">
        <v>190</v>
      </c>
      <c r="Q3" s="16">
        <v>188</v>
      </c>
      <c r="R3" s="16">
        <v>188</v>
      </c>
      <c r="S3" s="16">
        <v>180</v>
      </c>
      <c r="T3" s="16">
        <v>159</v>
      </c>
      <c r="U3" s="16">
        <v>159</v>
      </c>
      <c r="V3" s="16">
        <v>148</v>
      </c>
      <c r="W3" s="16">
        <v>142</v>
      </c>
      <c r="X3" s="16">
        <v>142</v>
      </c>
      <c r="Y3" s="16">
        <v>103</v>
      </c>
      <c r="Z3" s="16">
        <v>88</v>
      </c>
      <c r="AA3" s="16">
        <v>33</v>
      </c>
      <c r="AB3" s="18">
        <v>18</v>
      </c>
      <c r="AC3" s="20">
        <v>11</v>
      </c>
      <c r="AD3" s="20">
        <v>11</v>
      </c>
      <c r="AE3" s="17">
        <v>0</v>
      </c>
    </row>
    <row r="4" spans="2:132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2"/>
    </row>
    <row r="5" spans="2:132" x14ac:dyDescent="0.25">
      <c r="C5" s="5"/>
      <c r="O5" s="7"/>
    </row>
    <row r="6" spans="2:132" x14ac:dyDescent="0.25">
      <c r="B6" s="42" t="s">
        <v>2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11">
        <v>0</v>
      </c>
      <c r="AB6" s="11">
        <v>0</v>
      </c>
      <c r="AC6" s="6">
        <v>0</v>
      </c>
      <c r="AD6" s="6">
        <v>0</v>
      </c>
      <c r="AS6" s="17" t="s">
        <v>136</v>
      </c>
      <c r="AT6" s="17" cm="1">
        <f t="array" ref="AT6:EB6">TRANSPOSE(AL8:AL94)</f>
        <v>2</v>
      </c>
      <c r="AU6" s="17">
        <v>4</v>
      </c>
      <c r="AV6" s="17">
        <v>6</v>
      </c>
      <c r="AW6" s="17">
        <v>8</v>
      </c>
      <c r="AX6" s="17">
        <v>10</v>
      </c>
      <c r="AY6" s="17">
        <v>12</v>
      </c>
      <c r="AZ6" s="17">
        <v>14</v>
      </c>
      <c r="BA6" s="17">
        <v>16</v>
      </c>
      <c r="BB6" s="17">
        <v>18</v>
      </c>
      <c r="BC6" s="17">
        <v>20</v>
      </c>
      <c r="BD6" s="17">
        <v>22</v>
      </c>
      <c r="BE6" s="17">
        <v>24</v>
      </c>
      <c r="BF6" s="17">
        <v>26</v>
      </c>
      <c r="BG6" s="17">
        <v>28</v>
      </c>
      <c r="BH6" s="17">
        <v>30</v>
      </c>
      <c r="BI6" s="17">
        <v>32</v>
      </c>
      <c r="BJ6" s="17">
        <v>36</v>
      </c>
      <c r="BK6" s="17">
        <v>40</v>
      </c>
      <c r="BL6" s="17">
        <v>43</v>
      </c>
      <c r="BM6" s="17">
        <v>46</v>
      </c>
      <c r="BN6" s="17">
        <v>49</v>
      </c>
      <c r="BO6" s="17">
        <v>52</v>
      </c>
      <c r="BP6" s="17">
        <v>55</v>
      </c>
      <c r="BQ6" s="17">
        <v>57</v>
      </c>
      <c r="BR6" s="17">
        <v>59</v>
      </c>
      <c r="BS6" s="17">
        <v>62</v>
      </c>
      <c r="BT6" s="17">
        <v>64</v>
      </c>
      <c r="BU6" s="17">
        <v>66</v>
      </c>
      <c r="BV6" s="17">
        <v>68</v>
      </c>
      <c r="BW6" s="17">
        <v>71</v>
      </c>
      <c r="BX6" s="17">
        <v>73</v>
      </c>
      <c r="BY6" s="17">
        <v>76</v>
      </c>
      <c r="BZ6" s="17">
        <v>78</v>
      </c>
      <c r="CA6" s="17">
        <v>80</v>
      </c>
      <c r="CB6" s="17">
        <v>82</v>
      </c>
      <c r="CC6" s="17">
        <v>85</v>
      </c>
      <c r="CD6" s="17">
        <v>88</v>
      </c>
      <c r="CE6" s="17">
        <v>92</v>
      </c>
      <c r="CF6" s="17">
        <v>94</v>
      </c>
      <c r="CG6" s="17">
        <v>97</v>
      </c>
      <c r="CH6" s="17">
        <v>100</v>
      </c>
      <c r="CI6" s="17">
        <v>102</v>
      </c>
      <c r="CJ6" s="17">
        <v>104</v>
      </c>
      <c r="CK6" s="17">
        <v>106</v>
      </c>
      <c r="CL6" s="17">
        <v>108</v>
      </c>
      <c r="CM6" s="17">
        <v>110</v>
      </c>
      <c r="CN6" s="17">
        <v>112</v>
      </c>
      <c r="CO6" s="17">
        <v>116</v>
      </c>
      <c r="CP6" s="17">
        <v>120</v>
      </c>
      <c r="CQ6" s="17">
        <v>124</v>
      </c>
      <c r="CR6" s="17">
        <v>128</v>
      </c>
      <c r="CS6" s="17">
        <v>132</v>
      </c>
      <c r="CT6" s="17">
        <v>136</v>
      </c>
      <c r="CU6" s="17">
        <v>140</v>
      </c>
      <c r="CV6" s="17">
        <v>142</v>
      </c>
      <c r="CW6" s="17">
        <v>144</v>
      </c>
      <c r="CX6" s="17">
        <v>146</v>
      </c>
      <c r="CY6" s="17">
        <v>148</v>
      </c>
      <c r="CZ6" s="17">
        <v>150</v>
      </c>
      <c r="DA6" s="17">
        <v>152</v>
      </c>
      <c r="DB6" s="17">
        <v>160</v>
      </c>
      <c r="DC6" s="17">
        <v>168</v>
      </c>
      <c r="DD6" s="17">
        <v>173</v>
      </c>
      <c r="DE6" s="17">
        <v>176</v>
      </c>
      <c r="DF6" s="17">
        <v>179</v>
      </c>
      <c r="DG6" s="17">
        <v>181</v>
      </c>
      <c r="DH6" s="17">
        <v>183</v>
      </c>
      <c r="DI6" s="17">
        <v>185</v>
      </c>
      <c r="DJ6" s="17">
        <v>187</v>
      </c>
      <c r="DK6" s="17">
        <v>189</v>
      </c>
      <c r="DL6" s="17">
        <v>191</v>
      </c>
      <c r="DM6" s="17">
        <v>193</v>
      </c>
      <c r="DN6" s="17">
        <v>195</v>
      </c>
      <c r="DO6" s="17">
        <v>197</v>
      </c>
      <c r="DP6" s="17">
        <v>199</v>
      </c>
      <c r="DQ6" s="17">
        <v>202</v>
      </c>
      <c r="DR6" s="17">
        <v>204</v>
      </c>
      <c r="DS6" s="17">
        <v>206</v>
      </c>
      <c r="DT6" s="17">
        <v>209</v>
      </c>
      <c r="DU6" s="17">
        <v>213</v>
      </c>
      <c r="DV6" s="17">
        <v>215</v>
      </c>
      <c r="DW6" s="17">
        <v>219</v>
      </c>
      <c r="DX6" s="17">
        <v>222</v>
      </c>
      <c r="DY6" s="17">
        <v>226</v>
      </c>
      <c r="DZ6" s="17">
        <v>230</v>
      </c>
      <c r="EA6" s="17">
        <v>233</v>
      </c>
      <c r="EB6" s="17">
        <v>235</v>
      </c>
    </row>
    <row r="7" spans="2:132" ht="15.75" x14ac:dyDescent="0.25">
      <c r="B7" s="43" t="s">
        <v>85</v>
      </c>
      <c r="C7" s="41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S7" s="17" t="s">
        <v>137</v>
      </c>
      <c r="AT7" s="17" cm="1">
        <f t="array" ref="AT7:EB7">TRANSPOSE(AP8:AP94)</f>
        <v>2</v>
      </c>
      <c r="AU7" s="17">
        <v>4</v>
      </c>
      <c r="AV7" s="17">
        <v>6</v>
      </c>
      <c r="AW7" s="17">
        <v>8</v>
      </c>
      <c r="AX7" s="17">
        <v>10</v>
      </c>
      <c r="AY7" s="17">
        <v>12</v>
      </c>
      <c r="AZ7" s="17">
        <v>14</v>
      </c>
      <c r="BA7" s="17">
        <v>16</v>
      </c>
      <c r="BB7" s="17">
        <v>18</v>
      </c>
      <c r="BC7" s="17">
        <v>20</v>
      </c>
      <c r="BD7" s="17">
        <v>22</v>
      </c>
      <c r="BE7" s="17">
        <v>24</v>
      </c>
      <c r="BF7" s="17">
        <v>26</v>
      </c>
      <c r="BG7" s="17">
        <v>28</v>
      </c>
      <c r="BH7" s="17">
        <v>30</v>
      </c>
      <c r="BI7" s="17">
        <v>32</v>
      </c>
      <c r="BJ7" s="17">
        <v>35</v>
      </c>
      <c r="BK7" s="17">
        <v>38</v>
      </c>
      <c r="BL7" s="17">
        <v>41</v>
      </c>
      <c r="BM7" s="17">
        <v>43</v>
      </c>
      <c r="BN7" s="17">
        <v>46</v>
      </c>
      <c r="BO7" s="17">
        <v>49</v>
      </c>
      <c r="BP7" s="17">
        <v>52</v>
      </c>
      <c r="BQ7" s="17">
        <v>55</v>
      </c>
      <c r="BR7" s="17">
        <v>58</v>
      </c>
      <c r="BS7" s="17">
        <v>60</v>
      </c>
      <c r="BT7" s="17">
        <v>62</v>
      </c>
      <c r="BU7" s="17">
        <v>65</v>
      </c>
      <c r="BV7" s="17">
        <v>68</v>
      </c>
      <c r="BW7" s="17">
        <v>71</v>
      </c>
      <c r="BX7" s="17">
        <v>75</v>
      </c>
      <c r="BY7" s="17">
        <v>77</v>
      </c>
      <c r="BZ7" s="17">
        <v>79</v>
      </c>
      <c r="CA7" s="17">
        <v>81</v>
      </c>
      <c r="CB7" s="17">
        <v>84</v>
      </c>
      <c r="CC7" s="17">
        <v>86</v>
      </c>
      <c r="CD7" s="17">
        <v>89</v>
      </c>
      <c r="CE7" s="17">
        <v>92</v>
      </c>
      <c r="CF7" s="17">
        <v>95</v>
      </c>
      <c r="CG7" s="17">
        <v>98</v>
      </c>
      <c r="CH7" s="17">
        <v>100</v>
      </c>
      <c r="CI7" s="17">
        <v>102</v>
      </c>
      <c r="CJ7" s="17">
        <v>105</v>
      </c>
      <c r="CK7" s="17">
        <v>109</v>
      </c>
      <c r="CL7" s="17">
        <v>111</v>
      </c>
      <c r="CM7" s="17">
        <v>115</v>
      </c>
      <c r="CN7" s="17">
        <v>119</v>
      </c>
      <c r="CO7" s="17">
        <v>122</v>
      </c>
      <c r="CP7" s="17">
        <v>125</v>
      </c>
      <c r="CQ7" s="17">
        <v>127</v>
      </c>
      <c r="CR7" s="17">
        <v>129</v>
      </c>
      <c r="CS7" s="17">
        <v>132</v>
      </c>
      <c r="CT7" s="17">
        <v>135</v>
      </c>
      <c r="CU7" s="17">
        <v>137</v>
      </c>
      <c r="CV7" s="17">
        <v>140</v>
      </c>
      <c r="CW7" s="17">
        <v>143</v>
      </c>
      <c r="CX7" s="17">
        <v>146</v>
      </c>
      <c r="CY7" s="17">
        <v>149</v>
      </c>
      <c r="CZ7" s="17">
        <v>151</v>
      </c>
      <c r="DA7" s="17">
        <v>153</v>
      </c>
      <c r="DB7" s="17">
        <v>157</v>
      </c>
      <c r="DC7" s="17">
        <v>161</v>
      </c>
      <c r="DD7" s="17">
        <v>165</v>
      </c>
      <c r="DE7" s="17">
        <v>168</v>
      </c>
      <c r="DF7" s="17">
        <v>171</v>
      </c>
      <c r="DG7" s="17">
        <v>173</v>
      </c>
      <c r="DH7" s="17">
        <v>175</v>
      </c>
      <c r="DI7" s="17">
        <v>177</v>
      </c>
      <c r="DJ7" s="17">
        <v>179</v>
      </c>
      <c r="DK7" s="17">
        <v>181</v>
      </c>
      <c r="DL7" s="17">
        <v>184</v>
      </c>
      <c r="DM7" s="17">
        <v>187</v>
      </c>
      <c r="DN7" s="17">
        <v>190</v>
      </c>
      <c r="DO7" s="17">
        <v>193</v>
      </c>
      <c r="DP7" s="17">
        <v>196</v>
      </c>
      <c r="DQ7" s="17">
        <v>199</v>
      </c>
      <c r="DR7" s="17">
        <v>201</v>
      </c>
      <c r="DS7" s="17">
        <v>203</v>
      </c>
      <c r="DT7" s="17">
        <v>206</v>
      </c>
      <c r="DU7" s="17">
        <v>210</v>
      </c>
      <c r="DV7" s="17">
        <v>212</v>
      </c>
      <c r="DW7" s="17">
        <v>216</v>
      </c>
      <c r="DX7" s="17">
        <v>219</v>
      </c>
      <c r="DY7" s="17">
        <v>222</v>
      </c>
      <c r="DZ7" s="17">
        <v>225</v>
      </c>
      <c r="EA7" s="17">
        <v>228</v>
      </c>
      <c r="EB7" s="17">
        <v>231</v>
      </c>
    </row>
    <row r="8" spans="2:132" x14ac:dyDescent="0.25">
      <c r="B8" s="26" t="s">
        <v>6</v>
      </c>
      <c r="C8" s="25">
        <v>2</v>
      </c>
      <c r="D8" s="2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J8" s="50">
        <v>2</v>
      </c>
      <c r="AK8" s="50"/>
      <c r="AL8">
        <f>AJ8</f>
        <v>2</v>
      </c>
      <c r="AO8" s="54">
        <v>2</v>
      </c>
      <c r="AP8">
        <f>AO8</f>
        <v>2</v>
      </c>
    </row>
    <row r="9" spans="2:132" x14ac:dyDescent="0.25">
      <c r="B9" s="27" t="s">
        <v>7</v>
      </c>
      <c r="C9" s="25">
        <v>2</v>
      </c>
      <c r="D9" s="2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/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J9" s="50">
        <v>2</v>
      </c>
      <c r="AK9" s="50"/>
      <c r="AL9">
        <f>AJ8+AL8</f>
        <v>4</v>
      </c>
      <c r="AO9" s="10">
        <v>2</v>
      </c>
      <c r="AP9">
        <f>AO8+AP8</f>
        <v>4</v>
      </c>
    </row>
    <row r="10" spans="2:132" x14ac:dyDescent="0.25">
      <c r="B10" s="28" t="s">
        <v>8</v>
      </c>
      <c r="C10" s="25">
        <v>2</v>
      </c>
      <c r="D10" s="2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J10" s="50">
        <v>2</v>
      </c>
      <c r="AK10" s="50"/>
      <c r="AL10">
        <f>AJ9+AL9</f>
        <v>6</v>
      </c>
      <c r="AO10" s="54">
        <v>2</v>
      </c>
      <c r="AP10">
        <f t="shared" ref="AP10:AP73" si="0">AO9+AP9</f>
        <v>6</v>
      </c>
      <c r="AS10" s="17" t="s">
        <v>136</v>
      </c>
      <c r="AT10" cm="1">
        <f t="array" ref="AT10:EB10">TRANSPOSE(AW22:AW108)</f>
        <v>231</v>
      </c>
      <c r="AU10">
        <v>228</v>
      </c>
      <c r="AV10">
        <v>225</v>
      </c>
      <c r="AW10">
        <v>222</v>
      </c>
      <c r="AX10">
        <v>219</v>
      </c>
      <c r="AY10">
        <v>216</v>
      </c>
      <c r="AZ10">
        <v>212</v>
      </c>
      <c r="BA10">
        <v>210</v>
      </c>
      <c r="BB10">
        <v>206</v>
      </c>
      <c r="BC10">
        <v>203</v>
      </c>
      <c r="BD10">
        <v>201</v>
      </c>
      <c r="BE10">
        <v>199</v>
      </c>
      <c r="BF10">
        <v>196</v>
      </c>
      <c r="BG10">
        <v>193</v>
      </c>
      <c r="BH10">
        <v>190</v>
      </c>
      <c r="BI10">
        <v>187</v>
      </c>
      <c r="BJ10">
        <v>184</v>
      </c>
      <c r="BK10">
        <v>181</v>
      </c>
      <c r="BL10">
        <v>179</v>
      </c>
      <c r="BM10">
        <v>177</v>
      </c>
      <c r="BN10">
        <v>175</v>
      </c>
      <c r="BO10">
        <v>173</v>
      </c>
      <c r="BP10">
        <v>171</v>
      </c>
      <c r="BQ10">
        <v>168</v>
      </c>
      <c r="BR10">
        <v>165</v>
      </c>
      <c r="BS10">
        <v>161</v>
      </c>
      <c r="BT10">
        <v>157</v>
      </c>
      <c r="BU10">
        <v>153</v>
      </c>
      <c r="BV10">
        <v>151</v>
      </c>
      <c r="BW10">
        <v>149</v>
      </c>
      <c r="BX10">
        <v>146</v>
      </c>
      <c r="BY10">
        <v>143</v>
      </c>
      <c r="BZ10">
        <v>140</v>
      </c>
      <c r="CA10">
        <v>137</v>
      </c>
      <c r="CB10">
        <v>135</v>
      </c>
      <c r="CC10">
        <v>132</v>
      </c>
      <c r="CD10">
        <v>129</v>
      </c>
      <c r="CE10">
        <v>127</v>
      </c>
      <c r="CF10">
        <v>125</v>
      </c>
      <c r="CG10">
        <v>122</v>
      </c>
      <c r="CH10">
        <v>119</v>
      </c>
      <c r="CI10">
        <v>115</v>
      </c>
      <c r="CJ10">
        <v>111</v>
      </c>
      <c r="CK10">
        <v>109</v>
      </c>
      <c r="CL10">
        <v>105</v>
      </c>
      <c r="CM10">
        <v>102</v>
      </c>
      <c r="CN10">
        <v>100</v>
      </c>
      <c r="CO10">
        <v>98</v>
      </c>
      <c r="CP10">
        <v>95</v>
      </c>
      <c r="CQ10">
        <v>92</v>
      </c>
      <c r="CR10">
        <v>89</v>
      </c>
      <c r="CS10">
        <v>86</v>
      </c>
      <c r="CT10">
        <v>84</v>
      </c>
      <c r="CU10">
        <v>81</v>
      </c>
      <c r="CV10">
        <v>79</v>
      </c>
      <c r="CW10">
        <v>77</v>
      </c>
      <c r="CX10">
        <v>75</v>
      </c>
      <c r="CY10">
        <v>71</v>
      </c>
      <c r="CZ10">
        <v>68</v>
      </c>
      <c r="DA10">
        <v>65</v>
      </c>
      <c r="DB10">
        <v>62</v>
      </c>
      <c r="DC10">
        <v>60</v>
      </c>
      <c r="DD10">
        <v>58</v>
      </c>
      <c r="DE10">
        <v>55</v>
      </c>
      <c r="DF10">
        <v>52</v>
      </c>
      <c r="DG10">
        <v>49</v>
      </c>
      <c r="DH10">
        <v>46</v>
      </c>
      <c r="DI10">
        <v>43</v>
      </c>
      <c r="DJ10">
        <v>41</v>
      </c>
      <c r="DK10">
        <v>38</v>
      </c>
      <c r="DL10">
        <v>35</v>
      </c>
      <c r="DM10">
        <v>32</v>
      </c>
      <c r="DN10">
        <v>30</v>
      </c>
      <c r="DO10">
        <v>28</v>
      </c>
      <c r="DP10">
        <v>26</v>
      </c>
      <c r="DQ10">
        <v>24</v>
      </c>
      <c r="DR10">
        <v>22</v>
      </c>
      <c r="DS10">
        <v>20</v>
      </c>
      <c r="DT10">
        <v>18</v>
      </c>
      <c r="DU10">
        <v>16</v>
      </c>
      <c r="DV10">
        <v>14</v>
      </c>
      <c r="DW10">
        <v>12</v>
      </c>
      <c r="DX10">
        <v>10</v>
      </c>
      <c r="DY10">
        <v>8</v>
      </c>
      <c r="DZ10">
        <v>6</v>
      </c>
      <c r="EA10">
        <v>4</v>
      </c>
      <c r="EB10">
        <v>2</v>
      </c>
    </row>
    <row r="11" spans="2:132" ht="15.75" x14ac:dyDescent="0.25">
      <c r="B11" s="39" t="s">
        <v>86</v>
      </c>
      <c r="C11" s="25"/>
      <c r="D11" s="9"/>
      <c r="E11" s="2"/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J11" s="50">
        <v>2</v>
      </c>
      <c r="AK11" s="50"/>
      <c r="AL11">
        <f t="shared" ref="AL11:AL74" si="1">AJ10+AL10</f>
        <v>8</v>
      </c>
      <c r="AO11" s="10">
        <v>2</v>
      </c>
      <c r="AP11">
        <f t="shared" si="0"/>
        <v>8</v>
      </c>
      <c r="AS11" s="17" t="s">
        <v>137</v>
      </c>
      <c r="AT11" cm="1">
        <f t="array" ref="AT11:EB11">TRANSPOSE(AU22:AU108)</f>
        <v>235</v>
      </c>
      <c r="AU11">
        <v>233</v>
      </c>
      <c r="AV11">
        <v>230</v>
      </c>
      <c r="AW11">
        <v>226</v>
      </c>
      <c r="AX11">
        <v>222</v>
      </c>
      <c r="AY11">
        <v>219</v>
      </c>
      <c r="AZ11">
        <v>215</v>
      </c>
      <c r="BA11">
        <v>213</v>
      </c>
      <c r="BB11">
        <v>209</v>
      </c>
      <c r="BC11">
        <v>206</v>
      </c>
      <c r="BD11">
        <v>204</v>
      </c>
      <c r="BE11">
        <v>202</v>
      </c>
      <c r="BF11">
        <v>199</v>
      </c>
      <c r="BG11">
        <v>197</v>
      </c>
      <c r="BH11">
        <v>195</v>
      </c>
      <c r="BI11">
        <v>193</v>
      </c>
      <c r="BJ11">
        <v>191</v>
      </c>
      <c r="BK11">
        <v>189</v>
      </c>
      <c r="BL11">
        <v>187</v>
      </c>
      <c r="BM11">
        <v>185</v>
      </c>
      <c r="BN11">
        <v>183</v>
      </c>
      <c r="BO11">
        <v>181</v>
      </c>
      <c r="BP11">
        <v>179</v>
      </c>
      <c r="BQ11">
        <v>176</v>
      </c>
      <c r="BR11">
        <v>173</v>
      </c>
      <c r="BS11">
        <v>168</v>
      </c>
      <c r="BT11">
        <v>160</v>
      </c>
      <c r="BU11">
        <v>152</v>
      </c>
      <c r="BV11">
        <v>150</v>
      </c>
      <c r="BW11">
        <v>148</v>
      </c>
      <c r="BX11">
        <v>146</v>
      </c>
      <c r="BY11">
        <v>144</v>
      </c>
      <c r="BZ11">
        <v>142</v>
      </c>
      <c r="CA11">
        <v>140</v>
      </c>
      <c r="CB11">
        <v>136</v>
      </c>
      <c r="CC11">
        <v>132</v>
      </c>
      <c r="CD11">
        <v>128</v>
      </c>
      <c r="CE11">
        <v>124</v>
      </c>
      <c r="CF11">
        <v>120</v>
      </c>
      <c r="CG11">
        <v>116</v>
      </c>
      <c r="CH11">
        <v>112</v>
      </c>
      <c r="CI11">
        <v>110</v>
      </c>
      <c r="CJ11">
        <v>108</v>
      </c>
      <c r="CK11">
        <v>106</v>
      </c>
      <c r="CL11">
        <v>104</v>
      </c>
      <c r="CM11">
        <v>102</v>
      </c>
      <c r="CN11">
        <v>100</v>
      </c>
      <c r="CO11">
        <v>97</v>
      </c>
      <c r="CP11">
        <v>94</v>
      </c>
      <c r="CQ11">
        <v>92</v>
      </c>
      <c r="CR11">
        <v>88</v>
      </c>
      <c r="CS11">
        <v>85</v>
      </c>
      <c r="CT11">
        <v>82</v>
      </c>
      <c r="CU11">
        <v>80</v>
      </c>
      <c r="CV11">
        <v>78</v>
      </c>
      <c r="CW11">
        <v>76</v>
      </c>
      <c r="CX11">
        <v>73</v>
      </c>
      <c r="CY11">
        <v>71</v>
      </c>
      <c r="CZ11">
        <v>68</v>
      </c>
      <c r="DA11">
        <v>66</v>
      </c>
      <c r="DB11">
        <v>64</v>
      </c>
      <c r="DC11">
        <v>62</v>
      </c>
      <c r="DD11">
        <v>59</v>
      </c>
      <c r="DE11">
        <v>57</v>
      </c>
      <c r="DF11">
        <v>55</v>
      </c>
      <c r="DG11">
        <v>52</v>
      </c>
      <c r="DH11">
        <v>49</v>
      </c>
      <c r="DI11">
        <v>46</v>
      </c>
      <c r="DJ11">
        <v>43</v>
      </c>
      <c r="DK11">
        <v>40</v>
      </c>
      <c r="DL11">
        <v>36</v>
      </c>
      <c r="DM11">
        <v>32</v>
      </c>
      <c r="DN11">
        <v>30</v>
      </c>
      <c r="DO11">
        <v>28</v>
      </c>
      <c r="DP11">
        <v>26</v>
      </c>
      <c r="DQ11">
        <v>24</v>
      </c>
      <c r="DR11">
        <v>22</v>
      </c>
      <c r="DS11">
        <v>20</v>
      </c>
      <c r="DT11">
        <v>18</v>
      </c>
      <c r="DU11">
        <v>16</v>
      </c>
      <c r="DV11">
        <v>14</v>
      </c>
      <c r="DW11">
        <v>12</v>
      </c>
      <c r="DX11">
        <v>10</v>
      </c>
      <c r="DY11">
        <v>8</v>
      </c>
      <c r="DZ11">
        <v>6</v>
      </c>
      <c r="EA11">
        <v>4</v>
      </c>
      <c r="EB11">
        <v>2</v>
      </c>
    </row>
    <row r="12" spans="2:132" x14ac:dyDescent="0.25">
      <c r="B12" s="29" t="s">
        <v>9</v>
      </c>
      <c r="C12" s="25">
        <v>2</v>
      </c>
      <c r="D12" s="9">
        <v>2</v>
      </c>
      <c r="E12" s="9">
        <v>2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J12" s="50">
        <v>2</v>
      </c>
      <c r="AK12" s="50"/>
      <c r="AL12">
        <f t="shared" si="1"/>
        <v>10</v>
      </c>
      <c r="AO12" s="54">
        <v>2</v>
      </c>
      <c r="AP12">
        <f t="shared" si="0"/>
        <v>10</v>
      </c>
    </row>
    <row r="13" spans="2:132" x14ac:dyDescent="0.25">
      <c r="B13" s="28" t="s">
        <v>10</v>
      </c>
      <c r="C13" s="25">
        <v>2</v>
      </c>
      <c r="D13" s="9">
        <v>2</v>
      </c>
      <c r="E13" s="9">
        <v>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J13" s="50">
        <v>2</v>
      </c>
      <c r="AK13" s="50"/>
      <c r="AL13">
        <f t="shared" si="1"/>
        <v>12</v>
      </c>
      <c r="AO13" s="10">
        <v>2</v>
      </c>
      <c r="AP13">
        <f t="shared" si="0"/>
        <v>12</v>
      </c>
    </row>
    <row r="14" spans="2:132" ht="15.75" x14ac:dyDescent="0.25">
      <c r="B14" s="39" t="s">
        <v>87</v>
      </c>
      <c r="C14" s="25"/>
      <c r="D14" s="9"/>
      <c r="E14" s="9"/>
      <c r="F14" s="9"/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J14" s="50">
        <v>2</v>
      </c>
      <c r="AK14" s="50"/>
      <c r="AL14">
        <f t="shared" si="1"/>
        <v>14</v>
      </c>
      <c r="AO14" s="54">
        <v>2</v>
      </c>
      <c r="AP14">
        <f t="shared" si="0"/>
        <v>14</v>
      </c>
    </row>
    <row r="15" spans="2:132" x14ac:dyDescent="0.25">
      <c r="B15" s="30" t="s">
        <v>11</v>
      </c>
      <c r="C15" s="25">
        <v>2</v>
      </c>
      <c r="D15" s="9">
        <v>2</v>
      </c>
      <c r="E15" s="9">
        <v>2</v>
      </c>
      <c r="F15" s="9">
        <v>2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J15" s="50">
        <v>2</v>
      </c>
      <c r="AK15" s="50"/>
      <c r="AL15">
        <f t="shared" si="1"/>
        <v>16</v>
      </c>
      <c r="AO15" s="10">
        <v>2</v>
      </c>
      <c r="AP15">
        <f t="shared" si="0"/>
        <v>16</v>
      </c>
    </row>
    <row r="16" spans="2:132" x14ac:dyDescent="0.25">
      <c r="B16" s="28" t="s">
        <v>12</v>
      </c>
      <c r="C16" s="25">
        <v>2</v>
      </c>
      <c r="D16" s="9">
        <v>2</v>
      </c>
      <c r="E16" s="9">
        <v>2</v>
      </c>
      <c r="F16" s="9">
        <v>2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J16" s="50">
        <v>2</v>
      </c>
      <c r="AK16" s="50"/>
      <c r="AL16">
        <f t="shared" si="1"/>
        <v>18</v>
      </c>
      <c r="AO16" s="54">
        <v>2</v>
      </c>
      <c r="AP16">
        <f t="shared" si="0"/>
        <v>18</v>
      </c>
    </row>
    <row r="17" spans="2:49" ht="15.75" x14ac:dyDescent="0.25">
      <c r="B17" s="39" t="s">
        <v>88</v>
      </c>
      <c r="C17" s="25"/>
      <c r="D17" s="9"/>
      <c r="E17" s="9"/>
      <c r="F17" s="9"/>
      <c r="G17" s="9"/>
      <c r="H17" s="9"/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J17" s="50">
        <v>2</v>
      </c>
      <c r="AK17" s="50"/>
      <c r="AL17">
        <f t="shared" si="1"/>
        <v>20</v>
      </c>
      <c r="AO17" s="10">
        <v>2</v>
      </c>
      <c r="AP17">
        <f t="shared" si="0"/>
        <v>20</v>
      </c>
    </row>
    <row r="18" spans="2:49" x14ac:dyDescent="0.25">
      <c r="B18" s="29" t="s">
        <v>13</v>
      </c>
      <c r="C18" s="25">
        <v>2</v>
      </c>
      <c r="D18" s="9">
        <v>2</v>
      </c>
      <c r="E18" s="9">
        <v>2</v>
      </c>
      <c r="F18" s="9">
        <v>2</v>
      </c>
      <c r="G18" s="9">
        <v>2</v>
      </c>
      <c r="H18" s="9">
        <v>2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J18" s="50">
        <v>2</v>
      </c>
      <c r="AK18" s="50"/>
      <c r="AL18">
        <f t="shared" si="1"/>
        <v>22</v>
      </c>
      <c r="AO18" s="54">
        <v>2</v>
      </c>
      <c r="AP18">
        <f t="shared" si="0"/>
        <v>22</v>
      </c>
    </row>
    <row r="19" spans="2:49" x14ac:dyDescent="0.25">
      <c r="B19" s="31" t="s">
        <v>14</v>
      </c>
      <c r="C19" s="25">
        <v>2</v>
      </c>
      <c r="D19" s="9">
        <v>2</v>
      </c>
      <c r="E19" s="9">
        <v>2</v>
      </c>
      <c r="F19" s="9">
        <v>2</v>
      </c>
      <c r="G19" s="9">
        <v>2</v>
      </c>
      <c r="H19" s="9">
        <v>2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J19" s="50">
        <v>2</v>
      </c>
      <c r="AK19" s="50"/>
      <c r="AL19">
        <f t="shared" si="1"/>
        <v>24</v>
      </c>
      <c r="AO19" s="10">
        <v>2</v>
      </c>
      <c r="AP19">
        <f t="shared" si="0"/>
        <v>24</v>
      </c>
    </row>
    <row r="20" spans="2:49" x14ac:dyDescent="0.25">
      <c r="B20" s="32" t="s">
        <v>15</v>
      </c>
      <c r="C20" s="25">
        <v>2</v>
      </c>
      <c r="D20" s="9">
        <v>2</v>
      </c>
      <c r="E20" s="9">
        <v>2</v>
      </c>
      <c r="F20" s="9">
        <v>2</v>
      </c>
      <c r="G20" s="9">
        <v>2</v>
      </c>
      <c r="H20" s="9">
        <v>2</v>
      </c>
      <c r="I20" s="8"/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J20" s="50">
        <v>2</v>
      </c>
      <c r="AK20" s="50"/>
      <c r="AL20">
        <f t="shared" si="1"/>
        <v>26</v>
      </c>
      <c r="AO20" s="54">
        <v>2</v>
      </c>
      <c r="AP20">
        <f t="shared" si="0"/>
        <v>26</v>
      </c>
    </row>
    <row r="21" spans="2:49" ht="15.75" x14ac:dyDescent="0.25">
      <c r="B21" s="39" t="s">
        <v>89</v>
      </c>
      <c r="C21" s="25"/>
      <c r="D21" s="9"/>
      <c r="E21" s="9"/>
      <c r="F21" s="9"/>
      <c r="G21" s="9"/>
      <c r="H21" s="9"/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J21" s="50">
        <v>2</v>
      </c>
      <c r="AK21" s="50"/>
      <c r="AL21">
        <f t="shared" si="1"/>
        <v>28</v>
      </c>
      <c r="AO21" s="10">
        <v>2</v>
      </c>
      <c r="AP21">
        <f t="shared" si="0"/>
        <v>28</v>
      </c>
    </row>
    <row r="22" spans="2:49" x14ac:dyDescent="0.25">
      <c r="B22" s="29" t="s">
        <v>16</v>
      </c>
      <c r="C22" s="25">
        <v>2</v>
      </c>
      <c r="D22" s="9">
        <v>2</v>
      </c>
      <c r="E22" s="9">
        <v>2</v>
      </c>
      <c r="F22" s="9">
        <v>2</v>
      </c>
      <c r="G22" s="9">
        <v>2</v>
      </c>
      <c r="H22" s="9">
        <v>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J22" s="50">
        <v>2</v>
      </c>
      <c r="AK22" s="50"/>
      <c r="AL22">
        <f t="shared" si="1"/>
        <v>30</v>
      </c>
      <c r="AO22" s="54">
        <v>2</v>
      </c>
      <c r="AP22">
        <f t="shared" si="0"/>
        <v>30</v>
      </c>
      <c r="AU22">
        <v>235</v>
      </c>
      <c r="AW22">
        <v>231</v>
      </c>
    </row>
    <row r="23" spans="2:49" x14ac:dyDescent="0.25">
      <c r="B23" s="31" t="s">
        <v>17</v>
      </c>
      <c r="C23" s="25">
        <v>2</v>
      </c>
      <c r="D23" s="9">
        <v>2</v>
      </c>
      <c r="E23" s="9">
        <v>2</v>
      </c>
      <c r="F23" s="9">
        <v>2</v>
      </c>
      <c r="G23" s="9">
        <v>2</v>
      </c>
      <c r="H23" s="9">
        <v>2</v>
      </c>
      <c r="I23" s="2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J23" s="51">
        <v>4</v>
      </c>
      <c r="AK23" s="52"/>
      <c r="AL23">
        <f t="shared" si="1"/>
        <v>32</v>
      </c>
      <c r="AO23" s="55">
        <v>3</v>
      </c>
      <c r="AP23">
        <f t="shared" si="0"/>
        <v>32</v>
      </c>
      <c r="AU23">
        <v>233</v>
      </c>
      <c r="AW23">
        <v>228</v>
      </c>
    </row>
    <row r="24" spans="2:49" x14ac:dyDescent="0.25">
      <c r="B24" s="28" t="s">
        <v>18</v>
      </c>
      <c r="C24" s="25">
        <v>2</v>
      </c>
      <c r="D24" s="9">
        <v>2</v>
      </c>
      <c r="E24" s="9">
        <v>2</v>
      </c>
      <c r="F24" s="9">
        <v>2</v>
      </c>
      <c r="G24" s="9">
        <v>2</v>
      </c>
      <c r="H24" s="9">
        <v>2</v>
      </c>
      <c r="I24" s="2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J24" s="50">
        <v>4</v>
      </c>
      <c r="AK24" s="50"/>
      <c r="AL24">
        <f t="shared" si="1"/>
        <v>36</v>
      </c>
      <c r="AO24" s="56">
        <v>3</v>
      </c>
      <c r="AP24">
        <f t="shared" si="0"/>
        <v>35</v>
      </c>
      <c r="AU24">
        <v>230</v>
      </c>
      <c r="AW24">
        <v>225</v>
      </c>
    </row>
    <row r="25" spans="2:49" ht="15.75" x14ac:dyDescent="0.25">
      <c r="B25" s="39" t="s">
        <v>90</v>
      </c>
      <c r="C25" s="25"/>
      <c r="D25" s="9"/>
      <c r="E25" s="9"/>
      <c r="F25" s="9"/>
      <c r="G25" s="9"/>
      <c r="H25" s="9"/>
      <c r="I25" s="9"/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J25" s="50">
        <v>3</v>
      </c>
      <c r="AK25" s="50"/>
      <c r="AL25">
        <f t="shared" si="1"/>
        <v>40</v>
      </c>
      <c r="AO25" s="55">
        <v>3</v>
      </c>
      <c r="AP25">
        <f t="shared" si="0"/>
        <v>38</v>
      </c>
      <c r="AU25">
        <v>226</v>
      </c>
      <c r="AW25">
        <v>222</v>
      </c>
    </row>
    <row r="26" spans="2:49" x14ac:dyDescent="0.25">
      <c r="B26" s="29" t="s">
        <v>19</v>
      </c>
      <c r="C26" s="25">
        <v>2</v>
      </c>
      <c r="D26" s="9">
        <v>2</v>
      </c>
      <c r="E26" s="9">
        <v>2</v>
      </c>
      <c r="F26" s="9">
        <v>2</v>
      </c>
      <c r="G26" s="9">
        <v>2</v>
      </c>
      <c r="H26" s="9">
        <v>2</v>
      </c>
      <c r="I26" s="9">
        <v>2</v>
      </c>
      <c r="J26" s="8">
        <v>0</v>
      </c>
      <c r="K26" s="8">
        <v>0</v>
      </c>
      <c r="L26" s="8">
        <v>0</v>
      </c>
      <c r="M26" s="8"/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J26" s="50">
        <v>3</v>
      </c>
      <c r="AK26" s="50"/>
      <c r="AL26">
        <f t="shared" si="1"/>
        <v>43</v>
      </c>
      <c r="AO26" s="56">
        <v>2</v>
      </c>
      <c r="AP26">
        <f t="shared" si="0"/>
        <v>41</v>
      </c>
      <c r="AU26">
        <v>222</v>
      </c>
      <c r="AW26">
        <v>219</v>
      </c>
    </row>
    <row r="27" spans="2:49" x14ac:dyDescent="0.25">
      <c r="B27" s="33" t="s">
        <v>20</v>
      </c>
      <c r="C27" s="25">
        <v>2</v>
      </c>
      <c r="D27" s="9">
        <v>2</v>
      </c>
      <c r="E27" s="9">
        <v>2</v>
      </c>
      <c r="F27" s="9">
        <v>2</v>
      </c>
      <c r="G27" s="9">
        <v>2</v>
      </c>
      <c r="H27" s="9">
        <v>2</v>
      </c>
      <c r="I27" s="9">
        <v>2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J27" s="50">
        <v>3</v>
      </c>
      <c r="AK27" s="50"/>
      <c r="AL27">
        <f t="shared" si="1"/>
        <v>46</v>
      </c>
      <c r="AO27" s="55">
        <v>3</v>
      </c>
      <c r="AP27">
        <f t="shared" si="0"/>
        <v>43</v>
      </c>
      <c r="AU27">
        <v>219</v>
      </c>
      <c r="AW27">
        <v>216</v>
      </c>
    </row>
    <row r="28" spans="2:49" ht="15.75" x14ac:dyDescent="0.25">
      <c r="B28" s="39" t="s">
        <v>91</v>
      </c>
      <c r="C28" s="25"/>
      <c r="D28" s="9"/>
      <c r="E28" s="9"/>
      <c r="F28" s="9"/>
      <c r="G28" s="9"/>
      <c r="H28" s="9"/>
      <c r="I28" s="9"/>
      <c r="J28" s="9"/>
      <c r="K28" s="9"/>
      <c r="L28" s="9"/>
      <c r="M28" s="9"/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J28" s="50">
        <v>3</v>
      </c>
      <c r="AK28" s="50"/>
      <c r="AL28">
        <f t="shared" si="1"/>
        <v>49</v>
      </c>
      <c r="AO28" s="56">
        <v>3</v>
      </c>
      <c r="AP28">
        <f t="shared" si="0"/>
        <v>46</v>
      </c>
      <c r="AU28">
        <v>215</v>
      </c>
      <c r="AW28">
        <v>212</v>
      </c>
    </row>
    <row r="29" spans="2:49" x14ac:dyDescent="0.25">
      <c r="B29" s="29" t="s">
        <v>3</v>
      </c>
      <c r="C29" s="25">
        <v>2</v>
      </c>
      <c r="D29" s="9">
        <v>2</v>
      </c>
      <c r="E29" s="9">
        <v>2</v>
      </c>
      <c r="F29" s="9">
        <v>2</v>
      </c>
      <c r="G29" s="9">
        <v>2</v>
      </c>
      <c r="H29" s="9">
        <v>2</v>
      </c>
      <c r="I29" s="9">
        <v>2</v>
      </c>
      <c r="J29" s="9">
        <v>2</v>
      </c>
      <c r="K29" s="9">
        <v>2</v>
      </c>
      <c r="L29" s="9">
        <v>2</v>
      </c>
      <c r="M29" s="9">
        <v>2</v>
      </c>
      <c r="N29" s="9">
        <v>2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J29" s="50">
        <v>3</v>
      </c>
      <c r="AK29" s="50"/>
      <c r="AL29">
        <f t="shared" si="1"/>
        <v>52</v>
      </c>
      <c r="AO29" s="55">
        <v>3</v>
      </c>
      <c r="AP29">
        <f t="shared" si="0"/>
        <v>49</v>
      </c>
      <c r="AU29">
        <v>213</v>
      </c>
      <c r="AW29">
        <v>210</v>
      </c>
    </row>
    <row r="30" spans="2:49" x14ac:dyDescent="0.25">
      <c r="B30" s="34" t="s">
        <v>4</v>
      </c>
      <c r="C30" s="25">
        <v>2</v>
      </c>
      <c r="D30" s="9">
        <v>2</v>
      </c>
      <c r="E30" s="9">
        <v>2</v>
      </c>
      <c r="F30" s="9">
        <v>2</v>
      </c>
      <c r="G30" s="9">
        <v>2</v>
      </c>
      <c r="H30" s="9">
        <v>2</v>
      </c>
      <c r="I30" s="9">
        <v>2</v>
      </c>
      <c r="J30" s="9">
        <v>2</v>
      </c>
      <c r="K30" s="9">
        <v>2</v>
      </c>
      <c r="L30" s="9">
        <v>2</v>
      </c>
      <c r="M30" s="9">
        <v>2</v>
      </c>
      <c r="N30" s="9">
        <v>2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J30" s="50">
        <v>2</v>
      </c>
      <c r="AK30" s="50"/>
      <c r="AL30">
        <f t="shared" si="1"/>
        <v>55</v>
      </c>
      <c r="AO30" s="56">
        <v>3</v>
      </c>
      <c r="AP30">
        <f t="shared" si="0"/>
        <v>52</v>
      </c>
      <c r="AU30">
        <v>209</v>
      </c>
      <c r="AW30">
        <v>206</v>
      </c>
    </row>
    <row r="31" spans="2:49" x14ac:dyDescent="0.25">
      <c r="B31" s="33" t="s">
        <v>5</v>
      </c>
      <c r="C31" s="25">
        <v>3</v>
      </c>
      <c r="D31" s="9">
        <v>3</v>
      </c>
      <c r="E31" s="9">
        <v>3</v>
      </c>
      <c r="F31" s="9">
        <v>3</v>
      </c>
      <c r="G31" s="9">
        <v>3</v>
      </c>
      <c r="H31" s="9">
        <v>3</v>
      </c>
      <c r="I31" s="9">
        <v>3</v>
      </c>
      <c r="J31" s="9">
        <v>3</v>
      </c>
      <c r="K31" s="9">
        <v>3</v>
      </c>
      <c r="L31" s="9">
        <v>3</v>
      </c>
      <c r="M31" s="9">
        <v>3</v>
      </c>
      <c r="N31" s="9">
        <v>3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J31" s="50">
        <v>2</v>
      </c>
      <c r="AK31" s="50"/>
      <c r="AL31">
        <f t="shared" si="1"/>
        <v>57</v>
      </c>
      <c r="AO31" s="55">
        <v>3</v>
      </c>
      <c r="AP31">
        <f t="shared" si="0"/>
        <v>55</v>
      </c>
      <c r="AU31">
        <v>206</v>
      </c>
      <c r="AW31">
        <v>203</v>
      </c>
    </row>
    <row r="32" spans="2:49" ht="15.75" x14ac:dyDescent="0.25">
      <c r="B32" s="39" t="s">
        <v>92</v>
      </c>
      <c r="C32" s="25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J32" s="53">
        <v>3</v>
      </c>
      <c r="AK32" s="53"/>
      <c r="AL32">
        <f t="shared" si="1"/>
        <v>59</v>
      </c>
      <c r="AO32" s="56">
        <v>2</v>
      </c>
      <c r="AP32">
        <f t="shared" si="0"/>
        <v>58</v>
      </c>
      <c r="AU32">
        <v>204</v>
      </c>
      <c r="AW32">
        <v>201</v>
      </c>
    </row>
    <row r="33" spans="2:49" x14ac:dyDescent="0.25">
      <c r="B33" s="26" t="s">
        <v>21</v>
      </c>
      <c r="C33" s="25">
        <v>3</v>
      </c>
      <c r="D33" s="9">
        <v>3</v>
      </c>
      <c r="E33" s="9">
        <v>3</v>
      </c>
      <c r="F33" s="9">
        <v>3</v>
      </c>
      <c r="G33" s="9">
        <v>3</v>
      </c>
      <c r="H33" s="9">
        <v>3</v>
      </c>
      <c r="I33" s="9">
        <v>3</v>
      </c>
      <c r="J33" s="9">
        <v>3</v>
      </c>
      <c r="K33" s="9">
        <v>3</v>
      </c>
      <c r="L33" s="9">
        <v>3</v>
      </c>
      <c r="M33" s="9">
        <v>3</v>
      </c>
      <c r="N33" s="9">
        <v>3</v>
      </c>
      <c r="O33" s="9">
        <v>3</v>
      </c>
      <c r="P33" s="9">
        <v>3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J33" s="50">
        <v>2</v>
      </c>
      <c r="AK33" s="50"/>
      <c r="AL33">
        <f t="shared" si="1"/>
        <v>62</v>
      </c>
      <c r="AO33" s="55">
        <v>2</v>
      </c>
      <c r="AP33">
        <f t="shared" si="0"/>
        <v>60</v>
      </c>
      <c r="AU33">
        <v>202</v>
      </c>
      <c r="AW33">
        <v>199</v>
      </c>
    </row>
    <row r="34" spans="2:49" x14ac:dyDescent="0.25">
      <c r="B34" s="28" t="s">
        <v>22</v>
      </c>
      <c r="C34" s="25">
        <v>3</v>
      </c>
      <c r="D34" s="9">
        <v>3</v>
      </c>
      <c r="E34" s="9">
        <v>3</v>
      </c>
      <c r="F34" s="9">
        <v>3</v>
      </c>
      <c r="G34" s="9">
        <v>3</v>
      </c>
      <c r="H34" s="9">
        <v>3</v>
      </c>
      <c r="I34" s="9">
        <v>3</v>
      </c>
      <c r="J34" s="9">
        <v>3</v>
      </c>
      <c r="K34" s="9">
        <v>3</v>
      </c>
      <c r="L34" s="9">
        <v>3</v>
      </c>
      <c r="M34" s="9">
        <v>3</v>
      </c>
      <c r="N34" s="9">
        <v>3</v>
      </c>
      <c r="O34" s="9">
        <v>3</v>
      </c>
      <c r="P34" s="9">
        <v>3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J34" s="50">
        <v>2</v>
      </c>
      <c r="AK34" s="50"/>
      <c r="AL34">
        <f t="shared" si="1"/>
        <v>64</v>
      </c>
      <c r="AO34" s="56">
        <v>3</v>
      </c>
      <c r="AP34">
        <f t="shared" si="0"/>
        <v>62</v>
      </c>
      <c r="AU34">
        <v>199</v>
      </c>
      <c r="AW34">
        <v>196</v>
      </c>
    </row>
    <row r="35" spans="2:49" ht="15.75" x14ac:dyDescent="0.25">
      <c r="B35" s="39" t="s">
        <v>93</v>
      </c>
      <c r="C35" s="25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J35" s="50">
        <v>2</v>
      </c>
      <c r="AK35" s="50"/>
      <c r="AL35">
        <f t="shared" si="1"/>
        <v>66</v>
      </c>
      <c r="AO35" s="55">
        <v>3</v>
      </c>
      <c r="AP35">
        <f t="shared" si="0"/>
        <v>65</v>
      </c>
      <c r="AU35">
        <v>197</v>
      </c>
      <c r="AW35">
        <v>193</v>
      </c>
    </row>
    <row r="36" spans="2:49" x14ac:dyDescent="0.25">
      <c r="B36" s="29" t="s">
        <v>23</v>
      </c>
      <c r="C36" s="25">
        <v>2</v>
      </c>
      <c r="D36" s="9">
        <v>2</v>
      </c>
      <c r="E36" s="9">
        <v>2</v>
      </c>
      <c r="F36" s="9">
        <v>2</v>
      </c>
      <c r="G36" s="9">
        <v>2</v>
      </c>
      <c r="H36" s="9">
        <v>2</v>
      </c>
      <c r="I36" s="9">
        <v>2</v>
      </c>
      <c r="J36" s="9">
        <v>2</v>
      </c>
      <c r="K36" s="9">
        <v>2</v>
      </c>
      <c r="L36" s="9">
        <v>2</v>
      </c>
      <c r="M36" s="9">
        <v>2</v>
      </c>
      <c r="N36" s="9">
        <v>2</v>
      </c>
      <c r="O36" s="9">
        <v>2</v>
      </c>
      <c r="P36" s="9">
        <v>2</v>
      </c>
      <c r="Q36" s="9">
        <v>2</v>
      </c>
      <c r="R36" s="9">
        <v>2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J36" s="50">
        <v>3</v>
      </c>
      <c r="AK36" s="50"/>
      <c r="AL36">
        <f t="shared" si="1"/>
        <v>68</v>
      </c>
      <c r="AO36" s="56">
        <v>3</v>
      </c>
      <c r="AP36">
        <f t="shared" si="0"/>
        <v>68</v>
      </c>
      <c r="AU36">
        <v>195</v>
      </c>
      <c r="AW36">
        <v>190</v>
      </c>
    </row>
    <row r="37" spans="2:49" x14ac:dyDescent="0.25">
      <c r="B37" s="28" t="s">
        <v>24</v>
      </c>
      <c r="C37" s="25">
        <v>2</v>
      </c>
      <c r="D37" s="9">
        <v>2</v>
      </c>
      <c r="E37" s="9">
        <v>2</v>
      </c>
      <c r="F37" s="9">
        <v>2</v>
      </c>
      <c r="G37" s="9">
        <v>2</v>
      </c>
      <c r="H37" s="9">
        <v>2</v>
      </c>
      <c r="I37" s="9">
        <v>2</v>
      </c>
      <c r="J37" s="9">
        <v>2</v>
      </c>
      <c r="K37" s="9">
        <v>2</v>
      </c>
      <c r="L37" s="9">
        <v>2</v>
      </c>
      <c r="M37" s="9">
        <v>2</v>
      </c>
      <c r="N37" s="9">
        <v>2</v>
      </c>
      <c r="O37" s="9">
        <v>2</v>
      </c>
      <c r="P37" s="9">
        <v>2</v>
      </c>
      <c r="Q37" s="9">
        <v>2</v>
      </c>
      <c r="R37" s="9">
        <v>2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J37" s="50">
        <v>2</v>
      </c>
      <c r="AK37" s="50"/>
      <c r="AL37">
        <f t="shared" si="1"/>
        <v>71</v>
      </c>
      <c r="AO37" s="55">
        <v>4</v>
      </c>
      <c r="AP37">
        <f t="shared" si="0"/>
        <v>71</v>
      </c>
      <c r="AU37">
        <v>193</v>
      </c>
      <c r="AW37">
        <v>187</v>
      </c>
    </row>
    <row r="38" spans="2:49" ht="15.75" x14ac:dyDescent="0.25">
      <c r="B38" s="39" t="s">
        <v>94</v>
      </c>
      <c r="C38" s="25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J38" s="50">
        <v>3</v>
      </c>
      <c r="AK38" s="50"/>
      <c r="AL38">
        <f t="shared" si="1"/>
        <v>73</v>
      </c>
      <c r="AO38" s="56">
        <v>2</v>
      </c>
      <c r="AP38">
        <f t="shared" si="0"/>
        <v>75</v>
      </c>
      <c r="AU38">
        <v>191</v>
      </c>
      <c r="AW38">
        <v>184</v>
      </c>
    </row>
    <row r="39" spans="2:49" x14ac:dyDescent="0.25">
      <c r="B39" s="30" t="s">
        <v>25</v>
      </c>
      <c r="C39" s="25">
        <v>2</v>
      </c>
      <c r="D39" s="9">
        <v>2</v>
      </c>
      <c r="E39" s="9">
        <v>2</v>
      </c>
      <c r="F39" s="9">
        <v>2</v>
      </c>
      <c r="G39" s="9">
        <v>2</v>
      </c>
      <c r="H39" s="9">
        <v>2</v>
      </c>
      <c r="I39" s="9">
        <v>2</v>
      </c>
      <c r="J39" s="9">
        <v>2</v>
      </c>
      <c r="K39" s="9">
        <v>2</v>
      </c>
      <c r="L39" s="9">
        <v>2</v>
      </c>
      <c r="M39" s="9">
        <v>2</v>
      </c>
      <c r="N39" s="9">
        <v>2</v>
      </c>
      <c r="O39" s="9">
        <v>2</v>
      </c>
      <c r="P39" s="9">
        <v>2</v>
      </c>
      <c r="Q39" s="9">
        <v>2</v>
      </c>
      <c r="R39" s="9">
        <v>2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J39" s="50">
        <v>2</v>
      </c>
      <c r="AK39" s="50"/>
      <c r="AL39">
        <f t="shared" si="1"/>
        <v>76</v>
      </c>
      <c r="AO39" s="55">
        <v>2</v>
      </c>
      <c r="AP39">
        <f t="shared" si="0"/>
        <v>77</v>
      </c>
      <c r="AU39">
        <v>189</v>
      </c>
      <c r="AW39">
        <v>181</v>
      </c>
    </row>
    <row r="40" spans="2:49" x14ac:dyDescent="0.25">
      <c r="B40" s="28" t="s">
        <v>26</v>
      </c>
      <c r="C40" s="25">
        <v>2</v>
      </c>
      <c r="D40" s="9">
        <v>2</v>
      </c>
      <c r="E40" s="9">
        <v>2</v>
      </c>
      <c r="F40" s="9">
        <v>2</v>
      </c>
      <c r="G40" s="9">
        <v>2</v>
      </c>
      <c r="H40" s="9">
        <v>2</v>
      </c>
      <c r="I40" s="9">
        <v>2</v>
      </c>
      <c r="J40" s="9">
        <v>2</v>
      </c>
      <c r="K40" s="9">
        <v>2</v>
      </c>
      <c r="L40" s="9">
        <v>2</v>
      </c>
      <c r="M40" s="9">
        <v>2</v>
      </c>
      <c r="N40" s="9">
        <v>2</v>
      </c>
      <c r="O40" s="9">
        <v>2</v>
      </c>
      <c r="P40" s="9">
        <v>2</v>
      </c>
      <c r="Q40" s="9">
        <v>2</v>
      </c>
      <c r="R40" s="9">
        <v>2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J40" s="50">
        <v>2</v>
      </c>
      <c r="AK40" s="50"/>
      <c r="AL40">
        <f t="shared" si="1"/>
        <v>78</v>
      </c>
      <c r="AO40" s="56">
        <v>2</v>
      </c>
      <c r="AP40">
        <f t="shared" si="0"/>
        <v>79</v>
      </c>
      <c r="AU40">
        <v>187</v>
      </c>
      <c r="AW40">
        <v>179</v>
      </c>
    </row>
    <row r="41" spans="2:49" ht="15.75" x14ac:dyDescent="0.25">
      <c r="B41" s="39" t="s">
        <v>95</v>
      </c>
      <c r="C41" s="25"/>
      <c r="D41" s="9"/>
      <c r="E41" s="9"/>
      <c r="F41" s="9"/>
      <c r="G41" s="9"/>
      <c r="H41" s="9"/>
      <c r="I41" s="9"/>
      <c r="J41" s="9"/>
      <c r="K41" s="9">
        <v>2</v>
      </c>
      <c r="L41" s="9"/>
      <c r="M41" s="9"/>
      <c r="N41" s="9"/>
      <c r="O41" s="9"/>
      <c r="P41" s="9"/>
      <c r="Q41" s="9"/>
      <c r="R41" s="9"/>
      <c r="S41" s="9"/>
      <c r="T41" s="2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J41" s="50">
        <v>2</v>
      </c>
      <c r="AK41" s="50"/>
      <c r="AL41">
        <f t="shared" si="1"/>
        <v>80</v>
      </c>
      <c r="AO41" s="55">
        <v>3</v>
      </c>
      <c r="AP41">
        <f t="shared" si="0"/>
        <v>81</v>
      </c>
      <c r="AU41">
        <v>185</v>
      </c>
      <c r="AW41">
        <v>177</v>
      </c>
    </row>
    <row r="42" spans="2:49" x14ac:dyDescent="0.25">
      <c r="B42" s="30" t="s">
        <v>27</v>
      </c>
      <c r="C42" s="25">
        <v>3</v>
      </c>
      <c r="D42" s="9">
        <v>3</v>
      </c>
      <c r="E42" s="9">
        <v>3</v>
      </c>
      <c r="F42" s="9">
        <v>3</v>
      </c>
      <c r="G42" s="9">
        <v>3</v>
      </c>
      <c r="H42" s="9">
        <v>3</v>
      </c>
      <c r="I42" s="9">
        <v>3</v>
      </c>
      <c r="J42" s="9">
        <v>3</v>
      </c>
      <c r="K42" s="9">
        <v>3</v>
      </c>
      <c r="L42" s="9">
        <v>3</v>
      </c>
      <c r="M42" s="9">
        <v>3</v>
      </c>
      <c r="N42" s="9">
        <v>3</v>
      </c>
      <c r="O42" s="9">
        <v>3</v>
      </c>
      <c r="P42" s="9">
        <v>3</v>
      </c>
      <c r="Q42" s="9">
        <v>3</v>
      </c>
      <c r="R42" s="9">
        <v>3</v>
      </c>
      <c r="S42" s="9">
        <v>3</v>
      </c>
      <c r="T42" s="2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J42" s="50">
        <v>3</v>
      </c>
      <c r="AK42" s="50"/>
      <c r="AL42">
        <f t="shared" si="1"/>
        <v>82</v>
      </c>
      <c r="AO42" s="56">
        <v>2</v>
      </c>
      <c r="AP42">
        <f t="shared" si="0"/>
        <v>84</v>
      </c>
      <c r="AU42">
        <v>183</v>
      </c>
      <c r="AW42">
        <v>175</v>
      </c>
    </row>
    <row r="43" spans="2:49" x14ac:dyDescent="0.25">
      <c r="B43" s="27" t="s">
        <v>28</v>
      </c>
      <c r="C43" s="25">
        <v>2</v>
      </c>
      <c r="D43" s="9">
        <v>2</v>
      </c>
      <c r="E43" s="9">
        <v>2</v>
      </c>
      <c r="F43" s="9">
        <v>2</v>
      </c>
      <c r="G43" s="9">
        <v>2</v>
      </c>
      <c r="H43" s="9">
        <v>2</v>
      </c>
      <c r="I43" s="9">
        <v>2</v>
      </c>
      <c r="J43" s="9">
        <v>2</v>
      </c>
      <c r="K43" s="9">
        <v>2</v>
      </c>
      <c r="L43" s="9">
        <v>2</v>
      </c>
      <c r="M43" s="9">
        <v>2</v>
      </c>
      <c r="N43" s="9">
        <v>2</v>
      </c>
      <c r="O43" s="9">
        <v>2</v>
      </c>
      <c r="P43" s="9">
        <v>2</v>
      </c>
      <c r="Q43" s="9">
        <v>2</v>
      </c>
      <c r="R43" s="9">
        <v>2</v>
      </c>
      <c r="S43" s="9">
        <v>2</v>
      </c>
      <c r="T43" s="2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J43" s="50">
        <v>3</v>
      </c>
      <c r="AK43" s="50"/>
      <c r="AL43">
        <f t="shared" si="1"/>
        <v>85</v>
      </c>
      <c r="AO43" s="55">
        <v>3</v>
      </c>
      <c r="AP43">
        <f t="shared" si="0"/>
        <v>86</v>
      </c>
      <c r="AU43">
        <v>181</v>
      </c>
      <c r="AW43">
        <v>173</v>
      </c>
    </row>
    <row r="44" spans="2:49" x14ac:dyDescent="0.25">
      <c r="B44" s="35" t="s">
        <v>29</v>
      </c>
      <c r="C44" s="25">
        <v>3</v>
      </c>
      <c r="D44" s="9">
        <v>3</v>
      </c>
      <c r="E44" s="9">
        <v>3</v>
      </c>
      <c r="F44" s="9">
        <v>3</v>
      </c>
      <c r="G44" s="9">
        <v>3</v>
      </c>
      <c r="H44" s="9">
        <v>3</v>
      </c>
      <c r="I44" s="9">
        <v>3</v>
      </c>
      <c r="J44" s="9">
        <v>3</v>
      </c>
      <c r="K44" s="9">
        <v>3</v>
      </c>
      <c r="L44" s="9">
        <v>3</v>
      </c>
      <c r="M44" s="9">
        <v>3</v>
      </c>
      <c r="N44" s="9">
        <v>3</v>
      </c>
      <c r="O44" s="9">
        <v>3</v>
      </c>
      <c r="P44" s="9">
        <v>3</v>
      </c>
      <c r="Q44" s="9">
        <v>3</v>
      </c>
      <c r="R44" s="9">
        <v>3</v>
      </c>
      <c r="S44" s="9">
        <v>3</v>
      </c>
      <c r="T44" s="2"/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J44" s="53">
        <v>4</v>
      </c>
      <c r="AK44" s="53"/>
      <c r="AL44">
        <f t="shared" si="1"/>
        <v>88</v>
      </c>
      <c r="AO44" s="56">
        <v>3</v>
      </c>
      <c r="AP44">
        <f t="shared" si="0"/>
        <v>89</v>
      </c>
      <c r="AU44">
        <v>179</v>
      </c>
      <c r="AW44">
        <v>171</v>
      </c>
    </row>
    <row r="45" spans="2:49" ht="15.75" x14ac:dyDescent="0.25">
      <c r="B45" s="39" t="s">
        <v>134</v>
      </c>
      <c r="C45" s="25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22"/>
      <c r="T45" s="2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J45" s="50">
        <v>2</v>
      </c>
      <c r="AK45" s="50"/>
      <c r="AL45">
        <f t="shared" si="1"/>
        <v>92</v>
      </c>
      <c r="AO45" s="55">
        <v>3</v>
      </c>
      <c r="AP45">
        <f t="shared" si="0"/>
        <v>92</v>
      </c>
      <c r="AU45">
        <v>176</v>
      </c>
      <c r="AW45">
        <v>168</v>
      </c>
    </row>
    <row r="46" spans="2:49" x14ac:dyDescent="0.25">
      <c r="B46" s="23" t="s">
        <v>129</v>
      </c>
      <c r="C46" s="25">
        <v>2</v>
      </c>
      <c r="D46" s="9">
        <v>2</v>
      </c>
      <c r="E46" s="9">
        <v>2</v>
      </c>
      <c r="F46" s="9">
        <v>2</v>
      </c>
      <c r="G46" s="9">
        <v>2</v>
      </c>
      <c r="H46" s="9">
        <v>2</v>
      </c>
      <c r="I46" s="9">
        <v>2</v>
      </c>
      <c r="J46" s="9">
        <v>2</v>
      </c>
      <c r="K46" s="9">
        <v>2</v>
      </c>
      <c r="L46" s="9">
        <v>2</v>
      </c>
      <c r="M46" s="9">
        <v>2</v>
      </c>
      <c r="N46" s="9">
        <v>2</v>
      </c>
      <c r="O46" s="9">
        <v>2</v>
      </c>
      <c r="P46" s="9">
        <v>2</v>
      </c>
      <c r="Q46" s="9">
        <v>2</v>
      </c>
      <c r="R46" s="9">
        <v>2</v>
      </c>
      <c r="S46" s="9">
        <v>2</v>
      </c>
      <c r="T46" s="2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J46" s="50">
        <v>3</v>
      </c>
      <c r="AK46" s="50"/>
      <c r="AL46">
        <f t="shared" si="1"/>
        <v>94</v>
      </c>
      <c r="AO46" s="56">
        <v>3</v>
      </c>
      <c r="AP46">
        <f t="shared" si="0"/>
        <v>95</v>
      </c>
      <c r="AU46">
        <v>173</v>
      </c>
      <c r="AW46">
        <v>165</v>
      </c>
    </row>
    <row r="47" spans="2:49" ht="19.5" customHeight="1" x14ac:dyDescent="0.25">
      <c r="B47" s="24" t="s">
        <v>130</v>
      </c>
      <c r="C47" s="25">
        <v>2</v>
      </c>
      <c r="D47" s="9">
        <v>2</v>
      </c>
      <c r="E47" s="9">
        <v>2</v>
      </c>
      <c r="F47" s="9">
        <v>2</v>
      </c>
      <c r="G47" s="9">
        <v>2</v>
      </c>
      <c r="H47" s="9">
        <v>2</v>
      </c>
      <c r="I47" s="9">
        <v>2</v>
      </c>
      <c r="J47" s="9">
        <v>2</v>
      </c>
      <c r="K47" s="9">
        <v>2</v>
      </c>
      <c r="L47" s="9">
        <v>2</v>
      </c>
      <c r="M47" s="9">
        <v>2</v>
      </c>
      <c r="N47" s="9">
        <v>2</v>
      </c>
      <c r="O47" s="9">
        <v>2</v>
      </c>
      <c r="P47" s="9">
        <v>2</v>
      </c>
      <c r="Q47" s="9">
        <v>2</v>
      </c>
      <c r="R47" s="9">
        <v>2</v>
      </c>
      <c r="S47" s="9">
        <v>2</v>
      </c>
      <c r="T47" s="2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J47" s="50">
        <v>3</v>
      </c>
      <c r="AK47" s="50"/>
      <c r="AL47">
        <f t="shared" si="1"/>
        <v>97</v>
      </c>
      <c r="AO47" s="55">
        <v>2</v>
      </c>
      <c r="AP47">
        <f t="shared" si="0"/>
        <v>98</v>
      </c>
      <c r="AU47">
        <v>168</v>
      </c>
      <c r="AW47">
        <v>161</v>
      </c>
    </row>
    <row r="48" spans="2:49" ht="15.75" customHeight="1" x14ac:dyDescent="0.25">
      <c r="B48" s="39" t="s">
        <v>135</v>
      </c>
      <c r="C48" s="25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2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J48" s="50">
        <v>2</v>
      </c>
      <c r="AK48" s="50"/>
      <c r="AL48">
        <f t="shared" si="1"/>
        <v>100</v>
      </c>
      <c r="AO48" s="56">
        <v>2</v>
      </c>
      <c r="AP48">
        <f t="shared" si="0"/>
        <v>100</v>
      </c>
      <c r="AU48">
        <v>160</v>
      </c>
      <c r="AW48">
        <v>157</v>
      </c>
    </row>
    <row r="49" spans="2:49" ht="18" customHeight="1" x14ac:dyDescent="0.25">
      <c r="B49" s="23" t="s">
        <v>131</v>
      </c>
      <c r="C49" s="25">
        <v>3</v>
      </c>
      <c r="D49" s="9">
        <v>3</v>
      </c>
      <c r="E49" s="9">
        <v>3</v>
      </c>
      <c r="F49" s="9">
        <v>3</v>
      </c>
      <c r="G49" s="9">
        <v>3</v>
      </c>
      <c r="H49" s="9">
        <v>3</v>
      </c>
      <c r="I49" s="9">
        <v>3</v>
      </c>
      <c r="J49" s="9">
        <v>3</v>
      </c>
      <c r="K49" s="9">
        <v>3</v>
      </c>
      <c r="L49" s="9">
        <v>3</v>
      </c>
      <c r="M49" s="9">
        <v>3</v>
      </c>
      <c r="N49" s="9">
        <v>3</v>
      </c>
      <c r="O49" s="9">
        <v>3</v>
      </c>
      <c r="P49" s="9">
        <v>3</v>
      </c>
      <c r="Q49" s="9">
        <v>3</v>
      </c>
      <c r="R49" s="9">
        <v>3</v>
      </c>
      <c r="S49" s="9">
        <v>3</v>
      </c>
      <c r="T49" s="2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J49" s="50">
        <v>2</v>
      </c>
      <c r="AK49" s="50"/>
      <c r="AL49">
        <f t="shared" si="1"/>
        <v>102</v>
      </c>
      <c r="AO49" s="55">
        <v>3</v>
      </c>
      <c r="AP49">
        <f t="shared" si="0"/>
        <v>102</v>
      </c>
      <c r="AU49">
        <v>152</v>
      </c>
      <c r="AW49">
        <v>153</v>
      </c>
    </row>
    <row r="50" spans="2:49" ht="15.75" x14ac:dyDescent="0.25">
      <c r="B50" s="39" t="s">
        <v>99</v>
      </c>
      <c r="C50" s="25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2"/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J50" s="50">
        <v>2</v>
      </c>
      <c r="AK50" s="50"/>
      <c r="AL50">
        <f t="shared" si="1"/>
        <v>104</v>
      </c>
      <c r="AO50" s="56">
        <v>4</v>
      </c>
      <c r="AP50">
        <f t="shared" si="0"/>
        <v>105</v>
      </c>
      <c r="AU50">
        <v>150</v>
      </c>
      <c r="AW50">
        <v>151</v>
      </c>
    </row>
    <row r="51" spans="2:49" x14ac:dyDescent="0.25">
      <c r="B51" s="23" t="s">
        <v>30</v>
      </c>
      <c r="C51" s="25">
        <v>3</v>
      </c>
      <c r="D51" s="9">
        <v>3</v>
      </c>
      <c r="E51" s="9">
        <v>3</v>
      </c>
      <c r="F51" s="9">
        <v>3</v>
      </c>
      <c r="G51" s="9">
        <v>3</v>
      </c>
      <c r="H51" s="9">
        <v>3</v>
      </c>
      <c r="I51" s="9">
        <v>3</v>
      </c>
      <c r="J51" s="9">
        <v>3</v>
      </c>
      <c r="K51" s="9">
        <v>3</v>
      </c>
      <c r="L51" s="9">
        <v>3</v>
      </c>
      <c r="M51" s="9">
        <v>3</v>
      </c>
      <c r="N51" s="9">
        <v>3</v>
      </c>
      <c r="O51" s="9">
        <v>3</v>
      </c>
      <c r="P51" s="9">
        <v>3</v>
      </c>
      <c r="Q51" s="9">
        <v>3</v>
      </c>
      <c r="R51" s="9">
        <v>3</v>
      </c>
      <c r="S51" s="9">
        <v>3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J51" s="50">
        <v>2</v>
      </c>
      <c r="AK51" s="50"/>
      <c r="AL51">
        <f t="shared" si="1"/>
        <v>106</v>
      </c>
      <c r="AO51" s="55">
        <v>2</v>
      </c>
      <c r="AP51">
        <f t="shared" si="0"/>
        <v>109</v>
      </c>
      <c r="AU51">
        <v>148</v>
      </c>
      <c r="AW51">
        <v>149</v>
      </c>
    </row>
    <row r="52" spans="2:49" x14ac:dyDescent="0.25">
      <c r="B52" s="12" t="s">
        <v>31</v>
      </c>
      <c r="C52" s="25">
        <v>3</v>
      </c>
      <c r="D52" s="9">
        <v>3</v>
      </c>
      <c r="E52" s="9">
        <v>3</v>
      </c>
      <c r="F52" s="9">
        <v>3</v>
      </c>
      <c r="G52" s="9">
        <v>3</v>
      </c>
      <c r="H52" s="9">
        <v>3</v>
      </c>
      <c r="I52" s="9">
        <v>3</v>
      </c>
      <c r="J52" s="9">
        <v>3</v>
      </c>
      <c r="K52" s="9">
        <v>3</v>
      </c>
      <c r="L52" s="9">
        <v>3</v>
      </c>
      <c r="M52" s="9">
        <v>3</v>
      </c>
      <c r="N52" s="9">
        <v>3</v>
      </c>
      <c r="O52" s="9">
        <v>3</v>
      </c>
      <c r="P52" s="9">
        <v>3</v>
      </c>
      <c r="Q52" s="9">
        <v>3</v>
      </c>
      <c r="R52" s="9">
        <v>3</v>
      </c>
      <c r="S52" s="9">
        <v>3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J52" s="50">
        <v>2</v>
      </c>
      <c r="AK52" s="50"/>
      <c r="AL52">
        <f t="shared" si="1"/>
        <v>108</v>
      </c>
      <c r="AO52" s="56">
        <v>4</v>
      </c>
      <c r="AP52">
        <f t="shared" si="0"/>
        <v>111</v>
      </c>
      <c r="AU52">
        <v>146</v>
      </c>
      <c r="AW52">
        <v>146</v>
      </c>
    </row>
    <row r="53" spans="2:49" ht="15.75" x14ac:dyDescent="0.25">
      <c r="B53" s="39" t="s">
        <v>100</v>
      </c>
      <c r="C53" s="25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J53" s="50">
        <v>2</v>
      </c>
      <c r="AK53" s="50"/>
      <c r="AL53">
        <f t="shared" si="1"/>
        <v>110</v>
      </c>
      <c r="AO53" s="55">
        <v>4</v>
      </c>
      <c r="AP53">
        <f t="shared" si="0"/>
        <v>115</v>
      </c>
      <c r="AU53">
        <v>144</v>
      </c>
      <c r="AW53">
        <v>143</v>
      </c>
    </row>
    <row r="54" spans="2:49" x14ac:dyDescent="0.25">
      <c r="B54" s="23" t="s">
        <v>32</v>
      </c>
      <c r="C54" s="25">
        <v>2</v>
      </c>
      <c r="D54" s="9">
        <v>2</v>
      </c>
      <c r="E54" s="9">
        <v>2</v>
      </c>
      <c r="F54" s="9">
        <v>2</v>
      </c>
      <c r="G54" s="9">
        <v>2</v>
      </c>
      <c r="H54" s="9">
        <v>2</v>
      </c>
      <c r="I54" s="9">
        <v>2</v>
      </c>
      <c r="J54" s="9">
        <v>2</v>
      </c>
      <c r="K54" s="9">
        <v>2</v>
      </c>
      <c r="L54" s="9">
        <v>2</v>
      </c>
      <c r="M54" s="9">
        <v>2</v>
      </c>
      <c r="N54" s="9">
        <v>2</v>
      </c>
      <c r="O54" s="9">
        <v>2</v>
      </c>
      <c r="P54" s="9">
        <v>2</v>
      </c>
      <c r="Q54" s="9">
        <v>2</v>
      </c>
      <c r="R54" s="9">
        <v>2</v>
      </c>
      <c r="S54" s="9">
        <v>2</v>
      </c>
      <c r="T54" s="9">
        <v>2</v>
      </c>
      <c r="U54" s="9">
        <v>2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J54" s="51">
        <v>4</v>
      </c>
      <c r="AK54" s="52"/>
      <c r="AL54">
        <f t="shared" si="1"/>
        <v>112</v>
      </c>
      <c r="AO54" s="56">
        <v>3</v>
      </c>
      <c r="AP54">
        <f t="shared" si="0"/>
        <v>119</v>
      </c>
      <c r="AU54">
        <v>142</v>
      </c>
      <c r="AW54">
        <v>140</v>
      </c>
    </row>
    <row r="55" spans="2:49" x14ac:dyDescent="0.25">
      <c r="B55" s="23" t="s">
        <v>33</v>
      </c>
      <c r="C55" s="25">
        <v>3</v>
      </c>
      <c r="D55" s="9">
        <v>3</v>
      </c>
      <c r="E55" s="9">
        <v>3</v>
      </c>
      <c r="F55" s="9">
        <v>3</v>
      </c>
      <c r="G55" s="9">
        <v>3</v>
      </c>
      <c r="H55" s="9">
        <v>3</v>
      </c>
      <c r="I55" s="9">
        <v>3</v>
      </c>
      <c r="J55" s="9">
        <v>3</v>
      </c>
      <c r="K55" s="9">
        <v>3</v>
      </c>
      <c r="L55" s="9">
        <v>3</v>
      </c>
      <c r="M55" s="9">
        <v>3</v>
      </c>
      <c r="N55" s="9">
        <v>3</v>
      </c>
      <c r="O55" s="9">
        <v>3</v>
      </c>
      <c r="P55" s="9">
        <v>3</v>
      </c>
      <c r="Q55" s="9">
        <v>3</v>
      </c>
      <c r="R55" s="9">
        <v>3</v>
      </c>
      <c r="S55" s="9">
        <v>3</v>
      </c>
      <c r="T55" s="9">
        <v>3</v>
      </c>
      <c r="U55" s="9">
        <v>3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J55" s="51">
        <v>4</v>
      </c>
      <c r="AK55" s="52"/>
      <c r="AL55">
        <f t="shared" si="1"/>
        <v>116</v>
      </c>
      <c r="AO55" s="55">
        <v>3</v>
      </c>
      <c r="AP55">
        <f t="shared" si="0"/>
        <v>122</v>
      </c>
      <c r="AU55">
        <v>140</v>
      </c>
      <c r="AW55">
        <v>137</v>
      </c>
    </row>
    <row r="56" spans="2:49" ht="15.75" x14ac:dyDescent="0.25">
      <c r="B56" s="39" t="s">
        <v>101</v>
      </c>
      <c r="C56" s="25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J56" s="51">
        <v>4</v>
      </c>
      <c r="AK56" s="52"/>
      <c r="AL56">
        <f t="shared" si="1"/>
        <v>120</v>
      </c>
      <c r="AO56" s="56">
        <v>2</v>
      </c>
      <c r="AP56">
        <f t="shared" si="0"/>
        <v>125</v>
      </c>
      <c r="AU56">
        <v>136</v>
      </c>
      <c r="AW56">
        <v>135</v>
      </c>
    </row>
    <row r="57" spans="2:49" x14ac:dyDescent="0.25">
      <c r="B57" s="23" t="s">
        <v>34</v>
      </c>
      <c r="C57" s="25">
        <v>2</v>
      </c>
      <c r="D57" s="9">
        <v>2</v>
      </c>
      <c r="E57" s="9">
        <v>2</v>
      </c>
      <c r="F57" s="9">
        <v>2</v>
      </c>
      <c r="G57" s="9">
        <v>2</v>
      </c>
      <c r="H57" s="9">
        <v>2</v>
      </c>
      <c r="I57" s="9">
        <v>2</v>
      </c>
      <c r="J57" s="9">
        <v>2</v>
      </c>
      <c r="K57" s="9">
        <v>2</v>
      </c>
      <c r="L57" s="9">
        <v>2</v>
      </c>
      <c r="M57" s="9">
        <v>2</v>
      </c>
      <c r="N57" s="9">
        <v>2</v>
      </c>
      <c r="O57" s="9">
        <v>2</v>
      </c>
      <c r="P57" s="9">
        <v>2</v>
      </c>
      <c r="Q57" s="9">
        <v>2</v>
      </c>
      <c r="R57" s="9">
        <v>2</v>
      </c>
      <c r="S57" s="9">
        <v>2</v>
      </c>
      <c r="T57" s="9">
        <v>2</v>
      </c>
      <c r="U57" s="9">
        <v>2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J57" s="51">
        <v>4</v>
      </c>
      <c r="AK57" s="52"/>
      <c r="AL57">
        <f t="shared" si="1"/>
        <v>124</v>
      </c>
      <c r="AO57" s="55">
        <v>2</v>
      </c>
      <c r="AP57">
        <f t="shared" si="0"/>
        <v>127</v>
      </c>
      <c r="AU57">
        <v>132</v>
      </c>
      <c r="AW57">
        <v>132</v>
      </c>
    </row>
    <row r="58" spans="2:49" x14ac:dyDescent="0.25">
      <c r="B58" s="23" t="s">
        <v>35</v>
      </c>
      <c r="C58" s="25">
        <v>2</v>
      </c>
      <c r="D58" s="9">
        <v>2</v>
      </c>
      <c r="E58" s="9">
        <v>2</v>
      </c>
      <c r="F58" s="9">
        <v>2</v>
      </c>
      <c r="G58" s="9">
        <v>2</v>
      </c>
      <c r="H58" s="9">
        <v>2</v>
      </c>
      <c r="I58" s="9">
        <v>2</v>
      </c>
      <c r="J58" s="9">
        <v>2</v>
      </c>
      <c r="K58" s="9">
        <v>2</v>
      </c>
      <c r="L58" s="9">
        <v>2</v>
      </c>
      <c r="M58" s="9">
        <v>2</v>
      </c>
      <c r="N58" s="9">
        <v>2</v>
      </c>
      <c r="O58" s="9">
        <v>2</v>
      </c>
      <c r="P58" s="9">
        <v>2</v>
      </c>
      <c r="Q58" s="9">
        <v>2</v>
      </c>
      <c r="R58" s="9">
        <v>2</v>
      </c>
      <c r="S58" s="9">
        <v>2</v>
      </c>
      <c r="T58" s="9">
        <v>2</v>
      </c>
      <c r="U58" s="9">
        <v>2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J58" s="51">
        <v>4</v>
      </c>
      <c r="AK58" s="52"/>
      <c r="AL58">
        <f t="shared" si="1"/>
        <v>128</v>
      </c>
      <c r="AO58" s="56">
        <v>3</v>
      </c>
      <c r="AP58">
        <f t="shared" si="0"/>
        <v>129</v>
      </c>
      <c r="AU58">
        <v>128</v>
      </c>
      <c r="AW58">
        <v>129</v>
      </c>
    </row>
    <row r="59" spans="2:49" ht="15.75" x14ac:dyDescent="0.25">
      <c r="B59" s="39" t="s">
        <v>102</v>
      </c>
      <c r="C59" s="25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J59" s="51">
        <v>4</v>
      </c>
      <c r="AK59" s="52"/>
      <c r="AL59">
        <f t="shared" si="1"/>
        <v>132</v>
      </c>
      <c r="AO59" s="55">
        <v>3</v>
      </c>
      <c r="AP59">
        <f t="shared" si="0"/>
        <v>132</v>
      </c>
      <c r="AU59">
        <v>124</v>
      </c>
      <c r="AW59">
        <v>127</v>
      </c>
    </row>
    <row r="60" spans="2:49" x14ac:dyDescent="0.25">
      <c r="B60" s="23" t="s">
        <v>36</v>
      </c>
      <c r="C60" s="25">
        <v>2</v>
      </c>
      <c r="D60" s="9">
        <v>2</v>
      </c>
      <c r="E60" s="9">
        <v>2</v>
      </c>
      <c r="F60" s="9">
        <v>2</v>
      </c>
      <c r="G60" s="9">
        <v>2</v>
      </c>
      <c r="H60" s="9">
        <v>2</v>
      </c>
      <c r="I60" s="9">
        <v>2</v>
      </c>
      <c r="J60" s="9">
        <v>2</v>
      </c>
      <c r="K60" s="9">
        <v>2</v>
      </c>
      <c r="L60" s="9">
        <v>2</v>
      </c>
      <c r="M60" s="9">
        <v>2</v>
      </c>
      <c r="N60" s="9">
        <v>2</v>
      </c>
      <c r="O60" s="9">
        <v>2</v>
      </c>
      <c r="P60" s="9">
        <v>2</v>
      </c>
      <c r="Q60" s="9">
        <v>2</v>
      </c>
      <c r="R60" s="9">
        <v>2</v>
      </c>
      <c r="S60" s="9">
        <v>2</v>
      </c>
      <c r="T60" s="9">
        <v>2</v>
      </c>
      <c r="U60" s="9">
        <v>2</v>
      </c>
      <c r="V60" s="2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J60" s="51">
        <v>4</v>
      </c>
      <c r="AK60" s="52"/>
      <c r="AL60">
        <f t="shared" si="1"/>
        <v>136</v>
      </c>
      <c r="AO60" s="56">
        <v>2</v>
      </c>
      <c r="AP60">
        <f t="shared" si="0"/>
        <v>135</v>
      </c>
      <c r="AU60">
        <v>120</v>
      </c>
      <c r="AW60">
        <v>125</v>
      </c>
    </row>
    <row r="61" spans="2:49" x14ac:dyDescent="0.25">
      <c r="B61" s="12" t="s">
        <v>37</v>
      </c>
      <c r="C61" s="25">
        <v>2</v>
      </c>
      <c r="D61" s="9">
        <v>2</v>
      </c>
      <c r="E61" s="9">
        <v>2</v>
      </c>
      <c r="F61" s="9">
        <v>2</v>
      </c>
      <c r="G61" s="9">
        <v>2</v>
      </c>
      <c r="H61" s="9">
        <v>2</v>
      </c>
      <c r="I61" s="9">
        <v>2</v>
      </c>
      <c r="J61" s="9">
        <v>2</v>
      </c>
      <c r="K61" s="9">
        <v>2</v>
      </c>
      <c r="L61" s="9">
        <v>2</v>
      </c>
      <c r="M61" s="9">
        <v>2</v>
      </c>
      <c r="N61" s="9">
        <v>2</v>
      </c>
      <c r="O61" s="9">
        <v>2</v>
      </c>
      <c r="P61" s="9">
        <v>2</v>
      </c>
      <c r="Q61" s="9">
        <v>2</v>
      </c>
      <c r="R61" s="9">
        <v>2</v>
      </c>
      <c r="S61" s="9">
        <v>2</v>
      </c>
      <c r="T61" s="9">
        <v>2</v>
      </c>
      <c r="U61" s="9">
        <v>2</v>
      </c>
      <c r="V61" s="9">
        <v>2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J61" s="51">
        <v>2</v>
      </c>
      <c r="AK61" s="52"/>
      <c r="AL61">
        <f t="shared" si="1"/>
        <v>140</v>
      </c>
      <c r="AO61" s="55">
        <v>3</v>
      </c>
      <c r="AP61">
        <f t="shared" si="0"/>
        <v>137</v>
      </c>
      <c r="AU61">
        <v>116</v>
      </c>
      <c r="AW61">
        <v>122</v>
      </c>
    </row>
    <row r="62" spans="2:49" ht="15.75" x14ac:dyDescent="0.25">
      <c r="B62" s="39" t="s">
        <v>103</v>
      </c>
      <c r="C62" s="25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J62" s="51">
        <v>2</v>
      </c>
      <c r="AK62" s="52"/>
      <c r="AL62">
        <f t="shared" si="1"/>
        <v>142</v>
      </c>
      <c r="AO62" s="56">
        <v>3</v>
      </c>
      <c r="AP62">
        <f t="shared" si="0"/>
        <v>140</v>
      </c>
      <c r="AU62">
        <v>112</v>
      </c>
      <c r="AW62">
        <v>119</v>
      </c>
    </row>
    <row r="63" spans="2:49" x14ac:dyDescent="0.25">
      <c r="B63" s="23" t="s">
        <v>38</v>
      </c>
      <c r="C63" s="25">
        <v>2</v>
      </c>
      <c r="D63" s="9">
        <v>2</v>
      </c>
      <c r="E63" s="9">
        <v>2</v>
      </c>
      <c r="F63" s="9">
        <v>2</v>
      </c>
      <c r="G63" s="9">
        <v>2</v>
      </c>
      <c r="H63" s="9">
        <v>2</v>
      </c>
      <c r="I63" s="9">
        <v>2</v>
      </c>
      <c r="J63" s="9">
        <v>2</v>
      </c>
      <c r="K63" s="9">
        <v>2</v>
      </c>
      <c r="L63" s="9">
        <v>2</v>
      </c>
      <c r="M63" s="9">
        <v>2</v>
      </c>
      <c r="N63" s="9">
        <v>2</v>
      </c>
      <c r="O63" s="9">
        <v>2</v>
      </c>
      <c r="P63" s="9">
        <v>2</v>
      </c>
      <c r="Q63" s="9">
        <v>2</v>
      </c>
      <c r="R63" s="9">
        <v>2</v>
      </c>
      <c r="S63" s="9">
        <v>2</v>
      </c>
      <c r="T63" s="9">
        <v>2</v>
      </c>
      <c r="U63" s="9">
        <v>2</v>
      </c>
      <c r="V63" s="9">
        <v>2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J63" s="51">
        <v>2</v>
      </c>
      <c r="AK63" s="52"/>
      <c r="AL63">
        <f t="shared" si="1"/>
        <v>144</v>
      </c>
      <c r="AO63" s="55">
        <v>3</v>
      </c>
      <c r="AP63">
        <f t="shared" si="0"/>
        <v>143</v>
      </c>
      <c r="AU63">
        <v>110</v>
      </c>
      <c r="AW63">
        <v>115</v>
      </c>
    </row>
    <row r="64" spans="2:49" x14ac:dyDescent="0.25">
      <c r="B64" s="23" t="s">
        <v>39</v>
      </c>
      <c r="C64" s="25">
        <v>2</v>
      </c>
      <c r="D64" s="9">
        <v>2</v>
      </c>
      <c r="E64" s="9">
        <v>2</v>
      </c>
      <c r="F64" s="9">
        <v>2</v>
      </c>
      <c r="G64" s="9">
        <v>2</v>
      </c>
      <c r="H64" s="9">
        <v>2</v>
      </c>
      <c r="I64" s="9">
        <v>2</v>
      </c>
      <c r="J64" s="9">
        <v>2</v>
      </c>
      <c r="K64" s="9">
        <v>2</v>
      </c>
      <c r="L64" s="9">
        <v>2</v>
      </c>
      <c r="M64" s="9">
        <v>2</v>
      </c>
      <c r="N64" s="9">
        <v>2</v>
      </c>
      <c r="O64" s="9">
        <v>2</v>
      </c>
      <c r="P64" s="9">
        <v>2</v>
      </c>
      <c r="Q64" s="9">
        <v>2</v>
      </c>
      <c r="R64" s="9">
        <v>2</v>
      </c>
      <c r="S64" s="9">
        <v>2</v>
      </c>
      <c r="T64" s="9">
        <v>2</v>
      </c>
      <c r="U64" s="9">
        <v>2</v>
      </c>
      <c r="V64" s="9">
        <v>2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J64" s="51">
        <v>2</v>
      </c>
      <c r="AK64" s="52"/>
      <c r="AL64">
        <f t="shared" si="1"/>
        <v>146</v>
      </c>
      <c r="AO64" s="56">
        <v>3</v>
      </c>
      <c r="AP64">
        <f t="shared" si="0"/>
        <v>146</v>
      </c>
      <c r="AU64">
        <v>108</v>
      </c>
      <c r="AW64">
        <v>111</v>
      </c>
    </row>
    <row r="65" spans="2:49" ht="15.75" x14ac:dyDescent="0.25">
      <c r="B65" s="39" t="s">
        <v>104</v>
      </c>
      <c r="C65" s="25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J65" s="51">
        <v>2</v>
      </c>
      <c r="AK65" s="52"/>
      <c r="AL65">
        <f t="shared" si="1"/>
        <v>148</v>
      </c>
      <c r="AO65" s="55">
        <v>2</v>
      </c>
      <c r="AP65">
        <f t="shared" si="0"/>
        <v>149</v>
      </c>
      <c r="AU65">
        <v>106</v>
      </c>
      <c r="AW65">
        <v>109</v>
      </c>
    </row>
    <row r="66" spans="2:49" x14ac:dyDescent="0.25">
      <c r="B66" s="23" t="s">
        <v>40</v>
      </c>
      <c r="C66" s="25">
        <v>3</v>
      </c>
      <c r="D66" s="9">
        <v>3</v>
      </c>
      <c r="E66" s="9">
        <v>3</v>
      </c>
      <c r="F66" s="9">
        <v>3</v>
      </c>
      <c r="G66" s="9">
        <v>3</v>
      </c>
      <c r="H66" s="9">
        <v>3</v>
      </c>
      <c r="I66" s="9">
        <v>3</v>
      </c>
      <c r="J66" s="9">
        <v>3</v>
      </c>
      <c r="K66" s="9">
        <v>3</v>
      </c>
      <c r="L66" s="9">
        <v>3</v>
      </c>
      <c r="M66" s="9">
        <v>3</v>
      </c>
      <c r="N66" s="9">
        <v>3</v>
      </c>
      <c r="O66" s="9">
        <v>3</v>
      </c>
      <c r="P66" s="9">
        <v>3</v>
      </c>
      <c r="Q66" s="9">
        <v>3</v>
      </c>
      <c r="R66" s="9">
        <v>3</v>
      </c>
      <c r="S66" s="9">
        <v>3</v>
      </c>
      <c r="T66" s="9">
        <v>3</v>
      </c>
      <c r="U66" s="9">
        <v>3</v>
      </c>
      <c r="V66" s="9">
        <v>3</v>
      </c>
      <c r="W66" s="9">
        <v>3</v>
      </c>
      <c r="X66" s="9">
        <v>3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J66" s="51">
        <v>2</v>
      </c>
      <c r="AK66" s="52"/>
      <c r="AL66">
        <f t="shared" si="1"/>
        <v>150</v>
      </c>
      <c r="AO66" s="56">
        <v>2</v>
      </c>
      <c r="AP66">
        <f t="shared" si="0"/>
        <v>151</v>
      </c>
      <c r="AU66">
        <v>104</v>
      </c>
      <c r="AW66">
        <v>105</v>
      </c>
    </row>
    <row r="67" spans="2:49" ht="15.75" x14ac:dyDescent="0.25">
      <c r="B67" s="39" t="s">
        <v>105</v>
      </c>
      <c r="C67" s="25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J67" s="50">
        <v>8</v>
      </c>
      <c r="AK67" s="50"/>
      <c r="AL67">
        <f t="shared" si="1"/>
        <v>152</v>
      </c>
      <c r="AO67" s="55">
        <v>4</v>
      </c>
      <c r="AP67">
        <f t="shared" si="0"/>
        <v>153</v>
      </c>
      <c r="AU67">
        <v>102</v>
      </c>
      <c r="AW67">
        <v>102</v>
      </c>
    </row>
    <row r="68" spans="2:49" x14ac:dyDescent="0.25">
      <c r="B68" s="23" t="s">
        <v>41</v>
      </c>
      <c r="C68" s="25">
        <v>2</v>
      </c>
      <c r="D68" s="9">
        <v>2</v>
      </c>
      <c r="E68" s="9">
        <v>2</v>
      </c>
      <c r="F68" s="9">
        <v>2</v>
      </c>
      <c r="G68" s="9">
        <v>2</v>
      </c>
      <c r="H68" s="9">
        <v>2</v>
      </c>
      <c r="I68" s="9">
        <v>2</v>
      </c>
      <c r="J68" s="9">
        <v>2</v>
      </c>
      <c r="K68" s="9">
        <v>2</v>
      </c>
      <c r="L68" s="9">
        <v>2</v>
      </c>
      <c r="M68" s="9">
        <v>2</v>
      </c>
      <c r="N68" s="9">
        <v>2</v>
      </c>
      <c r="O68" s="9">
        <v>2</v>
      </c>
      <c r="P68" s="9">
        <v>2</v>
      </c>
      <c r="Q68" s="9">
        <v>2</v>
      </c>
      <c r="R68" s="9">
        <v>2</v>
      </c>
      <c r="S68" s="9">
        <v>2</v>
      </c>
      <c r="T68" s="9">
        <v>2</v>
      </c>
      <c r="U68" s="9">
        <v>2</v>
      </c>
      <c r="V68" s="9">
        <v>2</v>
      </c>
      <c r="W68" s="9">
        <v>2</v>
      </c>
      <c r="X68" s="9">
        <v>2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J68" s="53">
        <v>8</v>
      </c>
      <c r="AK68" s="53"/>
      <c r="AL68">
        <f t="shared" si="1"/>
        <v>160</v>
      </c>
      <c r="AO68" s="56">
        <v>4</v>
      </c>
      <c r="AP68">
        <f t="shared" si="0"/>
        <v>157</v>
      </c>
      <c r="AU68">
        <v>100</v>
      </c>
      <c r="AW68">
        <v>100</v>
      </c>
    </row>
    <row r="69" spans="2:49" x14ac:dyDescent="0.25">
      <c r="B69" s="12" t="s">
        <v>42</v>
      </c>
      <c r="C69" s="25">
        <v>2</v>
      </c>
      <c r="D69" s="9">
        <v>2</v>
      </c>
      <c r="E69" s="9">
        <v>2</v>
      </c>
      <c r="F69" s="9">
        <v>2</v>
      </c>
      <c r="G69" s="9">
        <v>2</v>
      </c>
      <c r="H69" s="9">
        <v>2</v>
      </c>
      <c r="I69" s="9">
        <v>2</v>
      </c>
      <c r="J69" s="9">
        <v>2</v>
      </c>
      <c r="K69" s="9">
        <v>2</v>
      </c>
      <c r="L69" s="9">
        <v>2</v>
      </c>
      <c r="M69" s="9">
        <v>2</v>
      </c>
      <c r="N69" s="9">
        <v>2</v>
      </c>
      <c r="O69" s="9">
        <v>2</v>
      </c>
      <c r="P69" s="9"/>
      <c r="Q69" s="9">
        <v>2</v>
      </c>
      <c r="R69" s="9">
        <v>2</v>
      </c>
      <c r="S69" s="9">
        <v>2</v>
      </c>
      <c r="T69" s="9">
        <v>2</v>
      </c>
      <c r="U69" s="9">
        <v>2</v>
      </c>
      <c r="V69" s="9">
        <v>2</v>
      </c>
      <c r="W69" s="9">
        <v>2</v>
      </c>
      <c r="X69" s="9">
        <v>2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J69" s="50">
        <v>5</v>
      </c>
      <c r="AK69" s="50"/>
      <c r="AL69">
        <f t="shared" si="1"/>
        <v>168</v>
      </c>
      <c r="AO69" s="55">
        <v>4</v>
      </c>
      <c r="AP69">
        <f t="shared" si="0"/>
        <v>161</v>
      </c>
      <c r="AU69">
        <v>97</v>
      </c>
      <c r="AW69">
        <v>98</v>
      </c>
    </row>
    <row r="70" spans="2:49" ht="15.75" x14ac:dyDescent="0.25">
      <c r="B70" s="39" t="s">
        <v>106</v>
      </c>
      <c r="C70" s="25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2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J70" s="50">
        <v>3</v>
      </c>
      <c r="AK70" s="50"/>
      <c r="AL70">
        <f t="shared" si="1"/>
        <v>173</v>
      </c>
      <c r="AO70" s="56">
        <v>3</v>
      </c>
      <c r="AP70">
        <f t="shared" si="0"/>
        <v>165</v>
      </c>
      <c r="AU70">
        <v>94</v>
      </c>
      <c r="AW70">
        <v>95</v>
      </c>
    </row>
    <row r="71" spans="2:49" x14ac:dyDescent="0.25">
      <c r="B71" s="23" t="s">
        <v>43</v>
      </c>
      <c r="C71" s="25">
        <v>2</v>
      </c>
      <c r="D71" s="9">
        <v>2</v>
      </c>
      <c r="E71" s="9">
        <v>2</v>
      </c>
      <c r="F71" s="9">
        <v>2</v>
      </c>
      <c r="G71" s="9">
        <v>2</v>
      </c>
      <c r="H71" s="9">
        <v>2</v>
      </c>
      <c r="I71" s="9">
        <v>2</v>
      </c>
      <c r="J71" s="9">
        <v>2</v>
      </c>
      <c r="K71" s="9">
        <v>2</v>
      </c>
      <c r="L71" s="9">
        <v>2</v>
      </c>
      <c r="M71" s="9">
        <v>2</v>
      </c>
      <c r="N71" s="9">
        <v>2</v>
      </c>
      <c r="O71" s="9">
        <v>2</v>
      </c>
      <c r="P71" s="9">
        <v>2</v>
      </c>
      <c r="Q71" s="9">
        <v>2</v>
      </c>
      <c r="R71" s="9">
        <v>2</v>
      </c>
      <c r="S71" s="9">
        <v>2</v>
      </c>
      <c r="T71" s="9">
        <v>2</v>
      </c>
      <c r="U71" s="9">
        <v>2</v>
      </c>
      <c r="V71" s="9">
        <v>2</v>
      </c>
      <c r="W71" s="9">
        <v>2</v>
      </c>
      <c r="X71" s="9">
        <v>2</v>
      </c>
      <c r="Y71" s="2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J71" s="50">
        <v>3</v>
      </c>
      <c r="AK71" s="50"/>
      <c r="AL71">
        <f t="shared" si="1"/>
        <v>176</v>
      </c>
      <c r="AO71" s="55">
        <v>3</v>
      </c>
      <c r="AP71">
        <f t="shared" si="0"/>
        <v>168</v>
      </c>
      <c r="AU71">
        <v>92</v>
      </c>
      <c r="AW71">
        <v>92</v>
      </c>
    </row>
    <row r="72" spans="2:49" ht="15.75" x14ac:dyDescent="0.25">
      <c r="B72" s="39" t="s">
        <v>107</v>
      </c>
      <c r="C72" s="25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2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J72" s="50">
        <v>2</v>
      </c>
      <c r="AK72" s="50"/>
      <c r="AL72">
        <f t="shared" si="1"/>
        <v>179</v>
      </c>
      <c r="AO72" s="56">
        <v>2</v>
      </c>
      <c r="AP72">
        <f t="shared" si="0"/>
        <v>171</v>
      </c>
      <c r="AU72">
        <v>88</v>
      </c>
      <c r="AW72">
        <v>89</v>
      </c>
    </row>
    <row r="73" spans="2:49" x14ac:dyDescent="0.25">
      <c r="B73" s="23" t="s">
        <v>44</v>
      </c>
      <c r="C73" s="25">
        <v>2</v>
      </c>
      <c r="D73" s="9">
        <v>2</v>
      </c>
      <c r="E73" s="9">
        <v>2</v>
      </c>
      <c r="F73" s="9">
        <v>2</v>
      </c>
      <c r="G73" s="9">
        <v>2</v>
      </c>
      <c r="H73" s="9">
        <v>2</v>
      </c>
      <c r="I73" s="9">
        <v>2</v>
      </c>
      <c r="J73" s="9">
        <v>2</v>
      </c>
      <c r="K73" s="9">
        <v>2</v>
      </c>
      <c r="L73" s="9">
        <v>2</v>
      </c>
      <c r="M73" s="9">
        <v>2</v>
      </c>
      <c r="N73" s="9">
        <v>2</v>
      </c>
      <c r="O73" s="9">
        <v>2</v>
      </c>
      <c r="P73" s="9">
        <v>2</v>
      </c>
      <c r="Q73" s="9">
        <v>2</v>
      </c>
      <c r="R73" s="9">
        <v>2</v>
      </c>
      <c r="S73" s="9">
        <v>2</v>
      </c>
      <c r="T73" s="9">
        <v>2</v>
      </c>
      <c r="U73" s="9">
        <v>2</v>
      </c>
      <c r="V73" s="9">
        <v>2</v>
      </c>
      <c r="W73" s="9">
        <v>2</v>
      </c>
      <c r="X73" s="9">
        <v>2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J73" s="50">
        <v>2</v>
      </c>
      <c r="AK73" s="50"/>
      <c r="AL73">
        <f t="shared" si="1"/>
        <v>181</v>
      </c>
      <c r="AO73" s="55">
        <v>2</v>
      </c>
      <c r="AP73">
        <f t="shared" si="0"/>
        <v>173</v>
      </c>
      <c r="AU73">
        <v>85</v>
      </c>
      <c r="AW73">
        <v>86</v>
      </c>
    </row>
    <row r="74" spans="2:49" x14ac:dyDescent="0.25">
      <c r="B74" s="12" t="s">
        <v>45</v>
      </c>
      <c r="C74" s="25">
        <v>2</v>
      </c>
      <c r="D74" s="9">
        <v>2</v>
      </c>
      <c r="E74" s="9">
        <v>2</v>
      </c>
      <c r="F74" s="9">
        <v>2</v>
      </c>
      <c r="G74" s="9">
        <v>2</v>
      </c>
      <c r="H74" s="9">
        <v>2</v>
      </c>
      <c r="I74" s="9">
        <v>2</v>
      </c>
      <c r="J74" s="9">
        <v>2</v>
      </c>
      <c r="K74" s="9">
        <v>2</v>
      </c>
      <c r="L74" s="9">
        <v>2</v>
      </c>
      <c r="M74" s="9">
        <v>2</v>
      </c>
      <c r="N74" s="9">
        <v>2</v>
      </c>
      <c r="O74" s="9">
        <v>2</v>
      </c>
      <c r="P74" s="9"/>
      <c r="Q74" s="9">
        <v>2</v>
      </c>
      <c r="R74" s="9">
        <v>2</v>
      </c>
      <c r="S74" s="9">
        <v>2</v>
      </c>
      <c r="T74" s="9">
        <v>2</v>
      </c>
      <c r="U74" s="9">
        <v>2</v>
      </c>
      <c r="V74" s="9">
        <v>2</v>
      </c>
      <c r="W74" s="9">
        <v>2</v>
      </c>
      <c r="X74" s="9">
        <v>2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J74" s="50">
        <v>2</v>
      </c>
      <c r="AK74" s="50"/>
      <c r="AL74">
        <f t="shared" si="1"/>
        <v>183</v>
      </c>
      <c r="AO74" s="57">
        <v>2</v>
      </c>
      <c r="AP74">
        <f t="shared" ref="AP74:AP94" si="2">AO73+AP73</f>
        <v>175</v>
      </c>
      <c r="AU74">
        <v>82</v>
      </c>
      <c r="AW74">
        <v>84</v>
      </c>
    </row>
    <row r="75" spans="2:49" ht="15.75" x14ac:dyDescent="0.25">
      <c r="B75" s="39" t="s">
        <v>108</v>
      </c>
      <c r="C75" s="25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2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J75" s="50">
        <v>2</v>
      </c>
      <c r="AK75" s="50"/>
      <c r="AL75">
        <f t="shared" ref="AL75:AL93" si="3">AJ74+AL74</f>
        <v>185</v>
      </c>
      <c r="AO75" s="55">
        <v>2</v>
      </c>
      <c r="AP75">
        <f t="shared" si="2"/>
        <v>177</v>
      </c>
      <c r="AU75">
        <v>80</v>
      </c>
      <c r="AW75">
        <v>81</v>
      </c>
    </row>
    <row r="76" spans="2:49" x14ac:dyDescent="0.25">
      <c r="B76" s="23" t="s">
        <v>46</v>
      </c>
      <c r="C76" s="25">
        <v>3</v>
      </c>
      <c r="D76" s="9">
        <v>3</v>
      </c>
      <c r="E76" s="9">
        <v>3</v>
      </c>
      <c r="F76" s="9">
        <v>3</v>
      </c>
      <c r="G76" s="9">
        <v>3</v>
      </c>
      <c r="H76" s="9">
        <v>3</v>
      </c>
      <c r="I76" s="9">
        <v>3</v>
      </c>
      <c r="J76" s="9">
        <v>3</v>
      </c>
      <c r="K76" s="9">
        <v>3</v>
      </c>
      <c r="L76" s="9">
        <v>3</v>
      </c>
      <c r="M76" s="9">
        <v>3</v>
      </c>
      <c r="N76" s="9">
        <v>3</v>
      </c>
      <c r="O76" s="9">
        <v>3</v>
      </c>
      <c r="P76" s="9">
        <v>3</v>
      </c>
      <c r="Q76" s="9">
        <v>3</v>
      </c>
      <c r="R76" s="9">
        <v>3</v>
      </c>
      <c r="S76" s="9">
        <v>3</v>
      </c>
      <c r="T76" s="9">
        <v>3</v>
      </c>
      <c r="U76" s="9">
        <v>3</v>
      </c>
      <c r="V76" s="9">
        <v>3</v>
      </c>
      <c r="W76" s="9">
        <v>3</v>
      </c>
      <c r="X76" s="9">
        <v>3</v>
      </c>
      <c r="Y76" s="2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J76" s="50">
        <v>2</v>
      </c>
      <c r="AK76" s="50"/>
      <c r="AL76">
        <f t="shared" si="3"/>
        <v>187</v>
      </c>
      <c r="AO76" s="56">
        <v>2</v>
      </c>
      <c r="AP76">
        <f t="shared" si="2"/>
        <v>179</v>
      </c>
      <c r="AU76">
        <v>78</v>
      </c>
      <c r="AW76">
        <v>79</v>
      </c>
    </row>
    <row r="77" spans="2:49" x14ac:dyDescent="0.25">
      <c r="B77" s="23" t="s">
        <v>47</v>
      </c>
      <c r="C77" s="25">
        <v>2</v>
      </c>
      <c r="D77" s="9">
        <v>2</v>
      </c>
      <c r="E77" s="9">
        <v>2</v>
      </c>
      <c r="F77" s="9">
        <v>2</v>
      </c>
      <c r="G77" s="9">
        <v>2</v>
      </c>
      <c r="H77" s="9">
        <v>2</v>
      </c>
      <c r="I77" s="9">
        <v>2</v>
      </c>
      <c r="J77" s="9">
        <v>2</v>
      </c>
      <c r="K77" s="9">
        <v>2</v>
      </c>
      <c r="L77" s="9">
        <v>2</v>
      </c>
      <c r="M77" s="9">
        <v>2</v>
      </c>
      <c r="N77" s="9">
        <v>2</v>
      </c>
      <c r="O77" s="9">
        <v>2</v>
      </c>
      <c r="P77" s="9">
        <v>2</v>
      </c>
      <c r="Q77" s="9">
        <v>2</v>
      </c>
      <c r="R77" s="9">
        <v>2</v>
      </c>
      <c r="S77" s="9">
        <v>2</v>
      </c>
      <c r="T77" s="9">
        <v>2</v>
      </c>
      <c r="U77" s="9">
        <v>2</v>
      </c>
      <c r="V77" s="9">
        <v>2</v>
      </c>
      <c r="W77" s="9">
        <v>2</v>
      </c>
      <c r="X77" s="9">
        <v>2</v>
      </c>
      <c r="Y77" s="2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J77" s="50">
        <v>2</v>
      </c>
      <c r="AK77" s="50"/>
      <c r="AL77">
        <f t="shared" si="3"/>
        <v>189</v>
      </c>
      <c r="AO77" s="55">
        <v>3</v>
      </c>
      <c r="AP77">
        <f t="shared" si="2"/>
        <v>181</v>
      </c>
      <c r="AU77">
        <v>76</v>
      </c>
      <c r="AW77">
        <v>77</v>
      </c>
    </row>
    <row r="78" spans="2:49" ht="15.75" x14ac:dyDescent="0.25">
      <c r="B78" s="39" t="s">
        <v>109</v>
      </c>
      <c r="C78" s="25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J78" s="50">
        <v>2</v>
      </c>
      <c r="AK78" s="50"/>
      <c r="AL78">
        <f t="shared" si="3"/>
        <v>191</v>
      </c>
      <c r="AO78" s="56">
        <v>3</v>
      </c>
      <c r="AP78">
        <f t="shared" si="2"/>
        <v>184</v>
      </c>
      <c r="AU78">
        <v>73</v>
      </c>
      <c r="AW78">
        <v>75</v>
      </c>
    </row>
    <row r="79" spans="2:49" x14ac:dyDescent="0.25">
      <c r="B79" s="12" t="s">
        <v>48</v>
      </c>
      <c r="C79" s="25">
        <v>3</v>
      </c>
      <c r="D79" s="9">
        <v>3</v>
      </c>
      <c r="E79" s="9">
        <v>3</v>
      </c>
      <c r="F79" s="9">
        <v>3</v>
      </c>
      <c r="G79" s="9">
        <v>3</v>
      </c>
      <c r="H79" s="9">
        <v>3</v>
      </c>
      <c r="I79" s="9">
        <v>3</v>
      </c>
      <c r="J79" s="9">
        <v>3</v>
      </c>
      <c r="K79" s="9">
        <v>3</v>
      </c>
      <c r="L79" s="9">
        <v>3</v>
      </c>
      <c r="M79" s="9">
        <v>3</v>
      </c>
      <c r="N79" s="9">
        <v>3</v>
      </c>
      <c r="O79" s="9">
        <v>3</v>
      </c>
      <c r="P79" s="9">
        <v>3</v>
      </c>
      <c r="Q79" s="9">
        <v>3</v>
      </c>
      <c r="R79" s="9">
        <v>3</v>
      </c>
      <c r="S79" s="9">
        <v>3</v>
      </c>
      <c r="T79" s="9">
        <v>3</v>
      </c>
      <c r="U79" s="9">
        <v>3</v>
      </c>
      <c r="V79" s="9">
        <v>3</v>
      </c>
      <c r="W79" s="9">
        <v>3</v>
      </c>
      <c r="X79" s="9">
        <v>3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J79" s="50">
        <v>2</v>
      </c>
      <c r="AK79" s="50"/>
      <c r="AL79">
        <f t="shared" si="3"/>
        <v>193</v>
      </c>
      <c r="AO79" s="55">
        <v>3</v>
      </c>
      <c r="AP79">
        <f t="shared" si="2"/>
        <v>187</v>
      </c>
      <c r="AU79">
        <v>71</v>
      </c>
      <c r="AW79">
        <v>71</v>
      </c>
    </row>
    <row r="80" spans="2:49" x14ac:dyDescent="0.25">
      <c r="B80" s="23" t="s">
        <v>49</v>
      </c>
      <c r="C80" s="25">
        <v>3</v>
      </c>
      <c r="D80" s="9">
        <v>3</v>
      </c>
      <c r="E80" s="9">
        <v>3</v>
      </c>
      <c r="F80" s="9">
        <v>3</v>
      </c>
      <c r="G80" s="9">
        <v>3</v>
      </c>
      <c r="H80" s="9">
        <v>3</v>
      </c>
      <c r="I80" s="9">
        <v>3</v>
      </c>
      <c r="J80" s="9">
        <v>3</v>
      </c>
      <c r="K80" s="9">
        <v>3</v>
      </c>
      <c r="L80" s="9">
        <v>3</v>
      </c>
      <c r="M80" s="9">
        <v>3</v>
      </c>
      <c r="N80" s="9">
        <v>3</v>
      </c>
      <c r="O80" s="9">
        <v>3</v>
      </c>
      <c r="P80" s="9">
        <v>3</v>
      </c>
      <c r="Q80" s="9">
        <v>3</v>
      </c>
      <c r="R80" s="9">
        <v>3</v>
      </c>
      <c r="S80" s="9">
        <v>3</v>
      </c>
      <c r="T80" s="9">
        <v>3</v>
      </c>
      <c r="U80" s="9">
        <v>3</v>
      </c>
      <c r="V80" s="9">
        <v>3</v>
      </c>
      <c r="W80" s="9">
        <v>3</v>
      </c>
      <c r="X80" s="9">
        <v>3</v>
      </c>
      <c r="Y80" s="2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J80" s="53">
        <v>2</v>
      </c>
      <c r="AK80" s="53"/>
      <c r="AL80">
        <f t="shared" si="3"/>
        <v>195</v>
      </c>
      <c r="AO80" s="56">
        <v>3</v>
      </c>
      <c r="AP80">
        <f t="shared" si="2"/>
        <v>190</v>
      </c>
      <c r="AU80">
        <v>68</v>
      </c>
      <c r="AW80">
        <v>68</v>
      </c>
    </row>
    <row r="81" spans="2:49" ht="15.75" x14ac:dyDescent="0.25">
      <c r="B81" s="39" t="s">
        <v>110</v>
      </c>
      <c r="C81" s="25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2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J81" s="50">
        <v>2</v>
      </c>
      <c r="AK81" s="50"/>
      <c r="AL81">
        <f t="shared" si="3"/>
        <v>197</v>
      </c>
      <c r="AO81" s="55">
        <v>3</v>
      </c>
      <c r="AP81">
        <f t="shared" si="2"/>
        <v>193</v>
      </c>
      <c r="AU81">
        <v>66</v>
      </c>
      <c r="AW81">
        <v>65</v>
      </c>
    </row>
    <row r="82" spans="2:49" x14ac:dyDescent="0.25">
      <c r="B82" s="23" t="s">
        <v>50</v>
      </c>
      <c r="C82" s="25">
        <v>3</v>
      </c>
      <c r="D82" s="9">
        <v>3</v>
      </c>
      <c r="E82" s="9">
        <v>3</v>
      </c>
      <c r="F82" s="9">
        <v>3</v>
      </c>
      <c r="G82" s="9">
        <v>3</v>
      </c>
      <c r="H82" s="9">
        <v>3</v>
      </c>
      <c r="I82" s="9">
        <v>3</v>
      </c>
      <c r="J82" s="9">
        <v>3</v>
      </c>
      <c r="K82" s="9">
        <v>3</v>
      </c>
      <c r="L82" s="9">
        <v>3</v>
      </c>
      <c r="M82" s="9">
        <v>3</v>
      </c>
      <c r="N82" s="9">
        <v>3</v>
      </c>
      <c r="O82" s="9">
        <v>3</v>
      </c>
      <c r="P82" s="9">
        <v>3</v>
      </c>
      <c r="Q82" s="9">
        <v>3</v>
      </c>
      <c r="R82" s="9">
        <v>3</v>
      </c>
      <c r="S82" s="9">
        <v>3</v>
      </c>
      <c r="T82" s="9">
        <v>3</v>
      </c>
      <c r="U82" s="9">
        <v>3</v>
      </c>
      <c r="V82" s="9">
        <v>3</v>
      </c>
      <c r="W82" s="9">
        <v>3</v>
      </c>
      <c r="X82" s="9">
        <v>3</v>
      </c>
      <c r="Y82" s="2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J82" s="50">
        <v>3</v>
      </c>
      <c r="AK82" s="50"/>
      <c r="AL82">
        <f t="shared" si="3"/>
        <v>199</v>
      </c>
      <c r="AO82" s="56">
        <v>3</v>
      </c>
      <c r="AP82">
        <f t="shared" si="2"/>
        <v>196</v>
      </c>
      <c r="AU82">
        <v>64</v>
      </c>
      <c r="AW82">
        <v>62</v>
      </c>
    </row>
    <row r="83" spans="2:49" x14ac:dyDescent="0.25">
      <c r="B83" s="23" t="s">
        <v>51</v>
      </c>
      <c r="C83" s="25">
        <v>3</v>
      </c>
      <c r="D83" s="9">
        <v>3</v>
      </c>
      <c r="E83" s="9">
        <v>3</v>
      </c>
      <c r="F83" s="9">
        <v>3</v>
      </c>
      <c r="G83" s="9">
        <v>3</v>
      </c>
      <c r="H83" s="9">
        <v>3</v>
      </c>
      <c r="I83" s="9">
        <v>3</v>
      </c>
      <c r="J83" s="9">
        <v>3</v>
      </c>
      <c r="K83" s="9">
        <v>3</v>
      </c>
      <c r="L83" s="9">
        <v>3</v>
      </c>
      <c r="M83" s="9">
        <v>3</v>
      </c>
      <c r="N83" s="9">
        <v>3</v>
      </c>
      <c r="O83" s="9">
        <v>3</v>
      </c>
      <c r="P83" s="9">
        <v>3</v>
      </c>
      <c r="Q83" s="9">
        <v>3</v>
      </c>
      <c r="R83" s="9">
        <v>3</v>
      </c>
      <c r="S83" s="9">
        <v>3</v>
      </c>
      <c r="T83" s="9">
        <v>3</v>
      </c>
      <c r="U83" s="9">
        <v>3</v>
      </c>
      <c r="V83" s="9">
        <v>3</v>
      </c>
      <c r="W83" s="9">
        <v>3</v>
      </c>
      <c r="X83" s="9">
        <v>3</v>
      </c>
      <c r="Y83" s="2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J83" s="50">
        <v>2</v>
      </c>
      <c r="AK83" s="50"/>
      <c r="AL83">
        <f t="shared" si="3"/>
        <v>202</v>
      </c>
      <c r="AO83" s="55">
        <v>2</v>
      </c>
      <c r="AP83">
        <f t="shared" si="2"/>
        <v>199</v>
      </c>
      <c r="AU83">
        <v>62</v>
      </c>
      <c r="AW83">
        <v>60</v>
      </c>
    </row>
    <row r="84" spans="2:49" ht="15.75" x14ac:dyDescent="0.25">
      <c r="B84" s="39" t="s">
        <v>111</v>
      </c>
      <c r="C84" s="25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J84" s="50">
        <v>2</v>
      </c>
      <c r="AK84" s="50"/>
      <c r="AL84">
        <f t="shared" si="3"/>
        <v>204</v>
      </c>
      <c r="AO84" s="56">
        <v>2</v>
      </c>
      <c r="AP84">
        <f t="shared" si="2"/>
        <v>201</v>
      </c>
      <c r="AU84">
        <v>59</v>
      </c>
      <c r="AW84">
        <v>58</v>
      </c>
    </row>
    <row r="85" spans="2:49" x14ac:dyDescent="0.25">
      <c r="B85" s="12" t="s">
        <v>52</v>
      </c>
      <c r="C85" s="25">
        <v>2</v>
      </c>
      <c r="D85" s="9">
        <v>2</v>
      </c>
      <c r="E85" s="9">
        <v>2</v>
      </c>
      <c r="F85" s="9">
        <v>2</v>
      </c>
      <c r="G85" s="9">
        <v>2</v>
      </c>
      <c r="H85" s="9">
        <v>2</v>
      </c>
      <c r="I85" s="9">
        <v>2</v>
      </c>
      <c r="J85" s="9">
        <v>2</v>
      </c>
      <c r="K85" s="9">
        <v>2</v>
      </c>
      <c r="L85" s="9">
        <v>2</v>
      </c>
      <c r="M85" s="9">
        <v>2</v>
      </c>
      <c r="N85" s="9">
        <v>2</v>
      </c>
      <c r="O85" s="9">
        <v>2</v>
      </c>
      <c r="P85" s="9">
        <v>2</v>
      </c>
      <c r="Q85" s="9">
        <v>2</v>
      </c>
      <c r="R85" s="9">
        <v>2</v>
      </c>
      <c r="S85" s="9">
        <v>2</v>
      </c>
      <c r="T85" s="9">
        <v>2</v>
      </c>
      <c r="U85" s="9">
        <v>2</v>
      </c>
      <c r="V85" s="9">
        <v>2</v>
      </c>
      <c r="W85" s="9">
        <v>2</v>
      </c>
      <c r="X85" s="9">
        <v>2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J85" s="50">
        <v>3</v>
      </c>
      <c r="AK85" s="50"/>
      <c r="AL85">
        <f t="shared" si="3"/>
        <v>206</v>
      </c>
      <c r="AO85" s="55">
        <v>3</v>
      </c>
      <c r="AP85">
        <f t="shared" si="2"/>
        <v>203</v>
      </c>
      <c r="AU85">
        <v>57</v>
      </c>
      <c r="AW85">
        <v>55</v>
      </c>
    </row>
    <row r="86" spans="2:49" x14ac:dyDescent="0.25">
      <c r="B86" s="23" t="s">
        <v>53</v>
      </c>
      <c r="C86" s="25">
        <v>4</v>
      </c>
      <c r="D86" s="9">
        <v>4</v>
      </c>
      <c r="E86" s="9">
        <v>4</v>
      </c>
      <c r="F86" s="9">
        <v>4</v>
      </c>
      <c r="G86" s="9">
        <v>4</v>
      </c>
      <c r="H86" s="9">
        <v>4</v>
      </c>
      <c r="I86" s="9">
        <v>4</v>
      </c>
      <c r="J86" s="9">
        <v>4</v>
      </c>
      <c r="K86" s="9">
        <v>4</v>
      </c>
      <c r="L86" s="9">
        <v>4</v>
      </c>
      <c r="M86" s="9">
        <v>4</v>
      </c>
      <c r="N86" s="9">
        <v>4</v>
      </c>
      <c r="O86" s="9">
        <v>4</v>
      </c>
      <c r="P86" s="9">
        <v>4</v>
      </c>
      <c r="Q86" s="9">
        <v>4</v>
      </c>
      <c r="R86" s="9">
        <v>4</v>
      </c>
      <c r="S86" s="9">
        <v>4</v>
      </c>
      <c r="T86" s="9">
        <v>4</v>
      </c>
      <c r="U86" s="9">
        <v>4</v>
      </c>
      <c r="V86" s="9">
        <v>4</v>
      </c>
      <c r="W86" s="9">
        <v>4</v>
      </c>
      <c r="X86" s="9">
        <v>4</v>
      </c>
      <c r="Y86" s="2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J86" s="50">
        <v>4</v>
      </c>
      <c r="AK86" s="50"/>
      <c r="AL86">
        <f t="shared" si="3"/>
        <v>209</v>
      </c>
      <c r="AO86" s="56">
        <v>4</v>
      </c>
      <c r="AP86">
        <f t="shared" si="2"/>
        <v>206</v>
      </c>
      <c r="AU86">
        <v>55</v>
      </c>
      <c r="AW86">
        <v>52</v>
      </c>
    </row>
    <row r="87" spans="2:49" ht="15.75" x14ac:dyDescent="0.25">
      <c r="B87" s="39" t="s">
        <v>112</v>
      </c>
      <c r="C87" s="25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2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J87" s="50">
        <v>2</v>
      </c>
      <c r="AK87" s="50"/>
      <c r="AL87">
        <f t="shared" si="3"/>
        <v>213</v>
      </c>
      <c r="AO87" s="55">
        <v>2</v>
      </c>
      <c r="AP87">
        <f t="shared" si="2"/>
        <v>210</v>
      </c>
      <c r="AU87">
        <v>52</v>
      </c>
      <c r="AW87">
        <v>49</v>
      </c>
    </row>
    <row r="88" spans="2:49" x14ac:dyDescent="0.25">
      <c r="B88" s="23" t="s">
        <v>56</v>
      </c>
      <c r="C88" s="25">
        <v>3</v>
      </c>
      <c r="D88" s="9">
        <v>3</v>
      </c>
      <c r="E88" s="9">
        <v>3</v>
      </c>
      <c r="F88" s="9">
        <v>3</v>
      </c>
      <c r="G88" s="9">
        <v>3</v>
      </c>
      <c r="H88" s="9">
        <v>3</v>
      </c>
      <c r="I88" s="9">
        <v>3</v>
      </c>
      <c r="J88" s="9">
        <v>3</v>
      </c>
      <c r="K88" s="9">
        <v>3</v>
      </c>
      <c r="L88" s="9">
        <v>3</v>
      </c>
      <c r="M88" s="9">
        <v>3</v>
      </c>
      <c r="N88" s="9">
        <v>3</v>
      </c>
      <c r="O88" s="9">
        <v>3</v>
      </c>
      <c r="P88" s="9">
        <v>3</v>
      </c>
      <c r="Q88" s="9">
        <v>3</v>
      </c>
      <c r="R88" s="9">
        <v>3</v>
      </c>
      <c r="S88" s="9">
        <v>3</v>
      </c>
      <c r="T88" s="9">
        <v>3</v>
      </c>
      <c r="U88" s="9">
        <v>3</v>
      </c>
      <c r="V88" s="9">
        <v>3</v>
      </c>
      <c r="W88" s="9">
        <v>3</v>
      </c>
      <c r="X88" s="9">
        <v>3</v>
      </c>
      <c r="Y88" s="2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J88" s="50">
        <v>4</v>
      </c>
      <c r="AK88" s="50"/>
      <c r="AL88">
        <f t="shared" si="3"/>
        <v>215</v>
      </c>
      <c r="AO88" s="56">
        <v>4</v>
      </c>
      <c r="AP88">
        <f t="shared" si="2"/>
        <v>212</v>
      </c>
      <c r="AU88">
        <v>49</v>
      </c>
      <c r="AW88">
        <v>46</v>
      </c>
    </row>
    <row r="89" spans="2:49" x14ac:dyDescent="0.25">
      <c r="B89" s="12" t="s">
        <v>57</v>
      </c>
      <c r="C89" s="25">
        <v>3</v>
      </c>
      <c r="D89" s="9">
        <v>3</v>
      </c>
      <c r="E89" s="9">
        <v>3</v>
      </c>
      <c r="F89" s="9">
        <v>3</v>
      </c>
      <c r="G89" s="9">
        <v>3</v>
      </c>
      <c r="H89" s="9">
        <v>3</v>
      </c>
      <c r="I89" s="9">
        <v>3</v>
      </c>
      <c r="J89" s="9">
        <v>3</v>
      </c>
      <c r="K89" s="9">
        <v>3</v>
      </c>
      <c r="L89" s="9">
        <v>3</v>
      </c>
      <c r="M89" s="9">
        <v>3</v>
      </c>
      <c r="N89" s="9">
        <v>3</v>
      </c>
      <c r="O89" s="9">
        <v>3</v>
      </c>
      <c r="P89" s="9">
        <v>3</v>
      </c>
      <c r="Q89" s="9">
        <v>3</v>
      </c>
      <c r="R89" s="9">
        <v>3</v>
      </c>
      <c r="S89" s="9">
        <v>3</v>
      </c>
      <c r="T89" s="9">
        <v>3</v>
      </c>
      <c r="U89" s="9">
        <v>3</v>
      </c>
      <c r="V89" s="9">
        <v>3</v>
      </c>
      <c r="W89" s="9">
        <v>3</v>
      </c>
      <c r="X89" s="9">
        <v>3</v>
      </c>
      <c r="Y89" s="2">
        <v>3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J89" s="50">
        <v>3</v>
      </c>
      <c r="AK89" s="50"/>
      <c r="AL89">
        <f t="shared" si="3"/>
        <v>219</v>
      </c>
      <c r="AO89" s="55">
        <v>3</v>
      </c>
      <c r="AP89">
        <f t="shared" si="2"/>
        <v>216</v>
      </c>
      <c r="AU89">
        <v>46</v>
      </c>
      <c r="AW89">
        <v>43</v>
      </c>
    </row>
    <row r="90" spans="2:49" ht="15.75" x14ac:dyDescent="0.25">
      <c r="B90" s="39" t="s">
        <v>113</v>
      </c>
      <c r="C90" s="25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8">
        <v>0</v>
      </c>
      <c r="AA90" s="8">
        <v>0</v>
      </c>
      <c r="AB90" s="8">
        <v>0</v>
      </c>
      <c r="AC90" s="8">
        <v>0</v>
      </c>
      <c r="AD90" s="8">
        <v>0</v>
      </c>
      <c r="AJ90" s="50">
        <v>4</v>
      </c>
      <c r="AK90" s="50"/>
      <c r="AL90">
        <f t="shared" si="3"/>
        <v>222</v>
      </c>
      <c r="AO90" s="56">
        <v>3</v>
      </c>
      <c r="AP90">
        <f t="shared" si="2"/>
        <v>219</v>
      </c>
      <c r="AU90">
        <v>43</v>
      </c>
      <c r="AW90">
        <v>41</v>
      </c>
    </row>
    <row r="91" spans="2:49" x14ac:dyDescent="0.25">
      <c r="B91" s="12" t="s">
        <v>54</v>
      </c>
      <c r="C91" s="25">
        <v>3</v>
      </c>
      <c r="D91" s="9">
        <v>3</v>
      </c>
      <c r="E91" s="9">
        <v>3</v>
      </c>
      <c r="F91" s="9">
        <v>3</v>
      </c>
      <c r="G91" s="9">
        <v>3</v>
      </c>
      <c r="H91" s="9">
        <v>3</v>
      </c>
      <c r="I91" s="9">
        <v>3</v>
      </c>
      <c r="J91" s="9">
        <v>3</v>
      </c>
      <c r="K91" s="9">
        <v>3</v>
      </c>
      <c r="L91" s="9">
        <v>3</v>
      </c>
      <c r="M91" s="9">
        <v>3</v>
      </c>
      <c r="N91" s="9">
        <v>3</v>
      </c>
      <c r="O91" s="9">
        <v>3</v>
      </c>
      <c r="P91" s="9">
        <v>3</v>
      </c>
      <c r="Q91" s="9">
        <v>3</v>
      </c>
      <c r="R91" s="9">
        <v>3</v>
      </c>
      <c r="S91" s="9">
        <v>3</v>
      </c>
      <c r="T91" s="9">
        <v>3</v>
      </c>
      <c r="U91" s="9">
        <v>3</v>
      </c>
      <c r="V91" s="9">
        <v>3</v>
      </c>
      <c r="W91" s="9">
        <v>3</v>
      </c>
      <c r="X91" s="9">
        <v>3</v>
      </c>
      <c r="Y91" s="9">
        <v>3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J91" s="50">
        <v>4</v>
      </c>
      <c r="AK91" s="50"/>
      <c r="AL91">
        <f t="shared" si="3"/>
        <v>226</v>
      </c>
      <c r="AO91" s="55">
        <v>3</v>
      </c>
      <c r="AP91">
        <f t="shared" si="2"/>
        <v>222</v>
      </c>
      <c r="AU91">
        <v>40</v>
      </c>
      <c r="AW91">
        <v>38</v>
      </c>
    </row>
    <row r="92" spans="2:49" x14ac:dyDescent="0.25">
      <c r="B92" s="12" t="s">
        <v>55</v>
      </c>
      <c r="C92" s="25">
        <v>3</v>
      </c>
      <c r="D92" s="9">
        <v>3</v>
      </c>
      <c r="E92" s="9">
        <v>3</v>
      </c>
      <c r="F92" s="9">
        <v>3</v>
      </c>
      <c r="G92" s="9">
        <v>3</v>
      </c>
      <c r="H92" s="9">
        <v>3</v>
      </c>
      <c r="I92" s="9">
        <v>3</v>
      </c>
      <c r="J92" s="9">
        <v>3</v>
      </c>
      <c r="K92" s="9">
        <v>3</v>
      </c>
      <c r="L92" s="9">
        <v>3</v>
      </c>
      <c r="M92" s="9">
        <v>3</v>
      </c>
      <c r="N92" s="9">
        <v>3</v>
      </c>
      <c r="O92" s="9">
        <v>3</v>
      </c>
      <c r="P92" s="9">
        <v>3</v>
      </c>
      <c r="Q92" s="9">
        <v>3</v>
      </c>
      <c r="R92" s="9">
        <v>3</v>
      </c>
      <c r="S92" s="9">
        <v>3</v>
      </c>
      <c r="T92" s="9">
        <v>3</v>
      </c>
      <c r="U92" s="9">
        <v>3</v>
      </c>
      <c r="V92" s="9">
        <v>3</v>
      </c>
      <c r="W92" s="9">
        <v>3</v>
      </c>
      <c r="X92" s="9">
        <v>3</v>
      </c>
      <c r="Y92" s="9">
        <v>3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J92" s="53">
        <v>3</v>
      </c>
      <c r="AK92" s="53"/>
      <c r="AL92">
        <f t="shared" si="3"/>
        <v>230</v>
      </c>
      <c r="AO92" s="56">
        <v>3</v>
      </c>
      <c r="AP92">
        <f t="shared" si="2"/>
        <v>225</v>
      </c>
      <c r="AU92">
        <v>36</v>
      </c>
      <c r="AW92">
        <v>35</v>
      </c>
    </row>
    <row r="93" spans="2:49" ht="15.75" x14ac:dyDescent="0.25">
      <c r="B93" s="40" t="s">
        <v>114</v>
      </c>
      <c r="C93" s="25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8">
        <v>0</v>
      </c>
      <c r="AA93" s="8">
        <v>0</v>
      </c>
      <c r="AB93" s="8">
        <v>0</v>
      </c>
      <c r="AC93" s="8">
        <v>0</v>
      </c>
      <c r="AD93" s="8">
        <v>0</v>
      </c>
      <c r="AJ93" s="50">
        <v>3</v>
      </c>
      <c r="AK93" s="50"/>
      <c r="AL93">
        <f t="shared" si="3"/>
        <v>233</v>
      </c>
      <c r="AO93" s="55">
        <v>3</v>
      </c>
      <c r="AP93">
        <f t="shared" si="2"/>
        <v>228</v>
      </c>
      <c r="AU93">
        <v>32</v>
      </c>
      <c r="AW93">
        <v>32</v>
      </c>
    </row>
    <row r="94" spans="2:49" x14ac:dyDescent="0.25">
      <c r="B94" s="37" t="s">
        <v>74</v>
      </c>
      <c r="C94" s="25">
        <v>3</v>
      </c>
      <c r="D94" s="9">
        <v>3</v>
      </c>
      <c r="E94" s="9">
        <v>3</v>
      </c>
      <c r="F94" s="9">
        <v>3</v>
      </c>
      <c r="G94" s="9">
        <v>3</v>
      </c>
      <c r="H94" s="9">
        <v>3</v>
      </c>
      <c r="I94" s="9">
        <v>3</v>
      </c>
      <c r="J94" s="9">
        <v>3</v>
      </c>
      <c r="K94" s="9">
        <v>3</v>
      </c>
      <c r="L94" s="9">
        <v>3</v>
      </c>
      <c r="M94" s="9">
        <v>3</v>
      </c>
      <c r="N94" s="9">
        <v>3</v>
      </c>
      <c r="O94" s="9">
        <v>3</v>
      </c>
      <c r="P94" s="9">
        <v>3</v>
      </c>
      <c r="Q94" s="9">
        <v>3</v>
      </c>
      <c r="R94" s="9">
        <v>3</v>
      </c>
      <c r="S94" s="9">
        <v>3</v>
      </c>
      <c r="T94" s="9">
        <v>3</v>
      </c>
      <c r="U94" s="9">
        <v>3</v>
      </c>
      <c r="V94" s="9">
        <v>3</v>
      </c>
      <c r="W94" s="9">
        <v>3</v>
      </c>
      <c r="X94" s="9">
        <v>3</v>
      </c>
      <c r="Y94" s="9">
        <v>3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J94" s="50">
        <v>3</v>
      </c>
      <c r="AK94" s="50"/>
      <c r="AL94">
        <f>AJ93+AL93-1</f>
        <v>235</v>
      </c>
      <c r="AO94" s="56">
        <v>3</v>
      </c>
      <c r="AP94">
        <f t="shared" si="2"/>
        <v>231</v>
      </c>
      <c r="AU94">
        <v>30</v>
      </c>
      <c r="AW94">
        <v>30</v>
      </c>
    </row>
    <row r="95" spans="2:49" x14ac:dyDescent="0.25">
      <c r="B95" s="44" t="s">
        <v>75</v>
      </c>
      <c r="C95" s="25">
        <v>3</v>
      </c>
      <c r="D95" s="9">
        <v>3</v>
      </c>
      <c r="E95" s="9">
        <v>3</v>
      </c>
      <c r="F95" s="9">
        <v>3</v>
      </c>
      <c r="G95" s="9">
        <v>3</v>
      </c>
      <c r="H95" s="9">
        <v>3</v>
      </c>
      <c r="I95" s="9">
        <v>3</v>
      </c>
      <c r="J95" s="9">
        <v>3</v>
      </c>
      <c r="K95" s="9">
        <v>3</v>
      </c>
      <c r="L95" s="9">
        <v>3</v>
      </c>
      <c r="M95" s="9">
        <v>3</v>
      </c>
      <c r="N95" s="9">
        <v>3</v>
      </c>
      <c r="O95" s="9">
        <v>3</v>
      </c>
      <c r="P95" s="9">
        <v>3</v>
      </c>
      <c r="Q95" s="9">
        <v>3</v>
      </c>
      <c r="R95" s="9">
        <v>3</v>
      </c>
      <c r="S95" s="9">
        <v>3</v>
      </c>
      <c r="T95" s="9">
        <v>3</v>
      </c>
      <c r="U95" s="9">
        <v>3</v>
      </c>
      <c r="V95" s="9">
        <v>3</v>
      </c>
      <c r="W95" s="9">
        <v>3</v>
      </c>
      <c r="X95" s="9">
        <v>3</v>
      </c>
      <c r="Y95" s="9">
        <v>3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U95">
        <v>28</v>
      </c>
      <c r="AW95">
        <v>28</v>
      </c>
    </row>
    <row r="96" spans="2:49" ht="15.75" x14ac:dyDescent="0.25">
      <c r="B96" s="45" t="s">
        <v>115</v>
      </c>
      <c r="C96" s="25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8">
        <v>0</v>
      </c>
      <c r="AB96" s="8">
        <v>0</v>
      </c>
      <c r="AC96" s="8">
        <v>0</v>
      </c>
      <c r="AD96" s="8">
        <v>0</v>
      </c>
      <c r="AU96">
        <v>26</v>
      </c>
      <c r="AW96">
        <v>26</v>
      </c>
    </row>
    <row r="97" spans="2:49" x14ac:dyDescent="0.25">
      <c r="B97" s="37" t="s">
        <v>58</v>
      </c>
      <c r="C97" s="25">
        <v>3</v>
      </c>
      <c r="D97" s="9">
        <v>3</v>
      </c>
      <c r="E97" s="9">
        <v>3</v>
      </c>
      <c r="F97" s="9">
        <v>3</v>
      </c>
      <c r="G97" s="9">
        <v>3</v>
      </c>
      <c r="H97" s="9">
        <v>3</v>
      </c>
      <c r="I97" s="9">
        <v>3</v>
      </c>
      <c r="J97" s="9">
        <v>3</v>
      </c>
      <c r="K97" s="9">
        <v>3</v>
      </c>
      <c r="L97" s="9">
        <v>3</v>
      </c>
      <c r="M97" s="9">
        <v>3</v>
      </c>
      <c r="N97" s="9">
        <v>3</v>
      </c>
      <c r="O97" s="9">
        <v>3</v>
      </c>
      <c r="P97" s="9">
        <v>3</v>
      </c>
      <c r="Q97" s="9">
        <v>3</v>
      </c>
      <c r="R97" s="9">
        <v>3</v>
      </c>
      <c r="S97" s="9">
        <v>3</v>
      </c>
      <c r="T97" s="9">
        <v>3</v>
      </c>
      <c r="U97" s="9">
        <v>3</v>
      </c>
      <c r="V97" s="9">
        <v>3</v>
      </c>
      <c r="W97" s="9">
        <v>3</v>
      </c>
      <c r="X97" s="9">
        <v>3</v>
      </c>
      <c r="Y97" s="9">
        <v>3</v>
      </c>
      <c r="Z97" s="9">
        <v>3</v>
      </c>
      <c r="AA97" s="2">
        <v>0</v>
      </c>
      <c r="AB97" s="2">
        <v>0</v>
      </c>
      <c r="AC97" s="2">
        <v>0</v>
      </c>
      <c r="AD97" s="2">
        <v>0</v>
      </c>
      <c r="AU97">
        <v>24</v>
      </c>
      <c r="AW97">
        <v>24</v>
      </c>
    </row>
    <row r="98" spans="2:49" x14ac:dyDescent="0.25">
      <c r="B98" s="44" t="s">
        <v>59</v>
      </c>
      <c r="C98" s="25">
        <v>3</v>
      </c>
      <c r="D98" s="9">
        <v>3</v>
      </c>
      <c r="E98" s="9">
        <v>3</v>
      </c>
      <c r="F98" s="9">
        <v>3</v>
      </c>
      <c r="G98" s="9">
        <v>3</v>
      </c>
      <c r="H98" s="9">
        <v>3</v>
      </c>
      <c r="I98" s="9">
        <v>3</v>
      </c>
      <c r="J98" s="9">
        <v>3</v>
      </c>
      <c r="K98" s="9">
        <v>3</v>
      </c>
      <c r="L98" s="9">
        <v>3</v>
      </c>
      <c r="M98" s="9">
        <v>3</v>
      </c>
      <c r="N98" s="9">
        <v>3</v>
      </c>
      <c r="O98" s="9">
        <v>3</v>
      </c>
      <c r="P98" s="9">
        <v>3</v>
      </c>
      <c r="Q98" s="9">
        <v>3</v>
      </c>
      <c r="R98" s="9">
        <v>3</v>
      </c>
      <c r="S98" s="9">
        <v>3</v>
      </c>
      <c r="T98" s="9">
        <v>3</v>
      </c>
      <c r="U98" s="9">
        <v>3</v>
      </c>
      <c r="V98" s="9">
        <v>3</v>
      </c>
      <c r="W98" s="9">
        <v>3</v>
      </c>
      <c r="X98" s="9">
        <v>3</v>
      </c>
      <c r="Y98" s="9">
        <v>3</v>
      </c>
      <c r="Z98" s="9">
        <v>3</v>
      </c>
      <c r="AA98" s="2">
        <v>0</v>
      </c>
      <c r="AB98" s="2">
        <v>0</v>
      </c>
      <c r="AC98" s="2">
        <v>0</v>
      </c>
      <c r="AD98" s="2">
        <v>0</v>
      </c>
      <c r="AU98">
        <v>22</v>
      </c>
      <c r="AW98">
        <v>22</v>
      </c>
    </row>
    <row r="99" spans="2:49" ht="15.75" x14ac:dyDescent="0.25">
      <c r="B99" s="45" t="s">
        <v>116</v>
      </c>
      <c r="C99" s="25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2">
        <v>0</v>
      </c>
      <c r="AB99" s="2">
        <v>0</v>
      </c>
      <c r="AC99" s="2">
        <v>0</v>
      </c>
      <c r="AD99" s="2">
        <v>0</v>
      </c>
      <c r="AU99">
        <v>20</v>
      </c>
      <c r="AW99">
        <v>20</v>
      </c>
    </row>
    <row r="100" spans="2:49" x14ac:dyDescent="0.25">
      <c r="B100" s="37" t="s">
        <v>60</v>
      </c>
      <c r="C100" s="25">
        <v>3</v>
      </c>
      <c r="D100" s="9">
        <v>3</v>
      </c>
      <c r="E100" s="9">
        <v>3</v>
      </c>
      <c r="F100" s="9">
        <v>3</v>
      </c>
      <c r="G100" s="9">
        <v>3</v>
      </c>
      <c r="H100" s="9">
        <v>3</v>
      </c>
      <c r="I100" s="9">
        <v>3</v>
      </c>
      <c r="J100" s="9">
        <v>3</v>
      </c>
      <c r="K100" s="9">
        <v>3</v>
      </c>
      <c r="L100" s="9">
        <v>3</v>
      </c>
      <c r="M100" s="9">
        <v>3</v>
      </c>
      <c r="N100" s="9">
        <v>3</v>
      </c>
      <c r="O100" s="9">
        <v>3</v>
      </c>
      <c r="P100" s="9">
        <v>3</v>
      </c>
      <c r="Q100" s="9">
        <v>3</v>
      </c>
      <c r="R100" s="9">
        <v>3</v>
      </c>
      <c r="S100" s="9">
        <v>3</v>
      </c>
      <c r="T100" s="9">
        <v>3</v>
      </c>
      <c r="U100" s="9">
        <v>3</v>
      </c>
      <c r="V100" s="9">
        <v>3</v>
      </c>
      <c r="W100" s="9">
        <v>3</v>
      </c>
      <c r="X100" s="9">
        <v>3</v>
      </c>
      <c r="Y100" s="9">
        <v>3</v>
      </c>
      <c r="Z100" s="9">
        <v>3</v>
      </c>
      <c r="AA100" s="49">
        <v>0</v>
      </c>
      <c r="AB100" s="2">
        <v>0</v>
      </c>
      <c r="AC100" s="2">
        <v>0</v>
      </c>
      <c r="AD100" s="2">
        <v>0</v>
      </c>
      <c r="AU100">
        <v>18</v>
      </c>
      <c r="AW100">
        <v>18</v>
      </c>
    </row>
    <row r="101" spans="2:49" x14ac:dyDescent="0.25">
      <c r="B101" s="44" t="s">
        <v>133</v>
      </c>
      <c r="C101" s="25">
        <v>2</v>
      </c>
      <c r="D101" s="9">
        <v>2</v>
      </c>
      <c r="E101" s="9">
        <v>2</v>
      </c>
      <c r="F101" s="9">
        <v>2</v>
      </c>
      <c r="G101" s="9">
        <v>2</v>
      </c>
      <c r="H101" s="9">
        <v>2</v>
      </c>
      <c r="I101" s="9">
        <v>2</v>
      </c>
      <c r="J101" s="9">
        <v>2</v>
      </c>
      <c r="K101" s="9">
        <v>2</v>
      </c>
      <c r="L101" s="9">
        <v>2</v>
      </c>
      <c r="M101" s="9">
        <v>2</v>
      </c>
      <c r="N101" s="9">
        <v>2</v>
      </c>
      <c r="O101" s="9">
        <v>2</v>
      </c>
      <c r="P101" s="9">
        <v>2</v>
      </c>
      <c r="Q101" s="9">
        <v>2</v>
      </c>
      <c r="R101" s="9">
        <v>2</v>
      </c>
      <c r="S101" s="9">
        <v>2</v>
      </c>
      <c r="T101" s="9">
        <v>2</v>
      </c>
      <c r="U101" s="9">
        <v>2</v>
      </c>
      <c r="V101" s="9">
        <v>2</v>
      </c>
      <c r="W101" s="9">
        <v>2</v>
      </c>
      <c r="X101" s="9">
        <v>2</v>
      </c>
      <c r="Y101" s="9">
        <v>2</v>
      </c>
      <c r="Z101" s="9">
        <v>2</v>
      </c>
      <c r="AA101" s="6">
        <v>0</v>
      </c>
      <c r="AB101" s="2">
        <v>0</v>
      </c>
      <c r="AC101" s="6">
        <v>0</v>
      </c>
      <c r="AD101" s="2">
        <v>0</v>
      </c>
      <c r="AU101">
        <v>16</v>
      </c>
      <c r="AW101">
        <v>16</v>
      </c>
    </row>
    <row r="102" spans="2:49" ht="15.75" x14ac:dyDescent="0.25">
      <c r="B102" s="45" t="s">
        <v>117</v>
      </c>
      <c r="C102" s="25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8">
        <v>0</v>
      </c>
      <c r="AB102" s="8">
        <v>0</v>
      </c>
      <c r="AC102" s="8">
        <v>0</v>
      </c>
      <c r="AD102" s="8">
        <v>0</v>
      </c>
      <c r="AU102">
        <v>14</v>
      </c>
      <c r="AW102">
        <v>14</v>
      </c>
    </row>
    <row r="103" spans="2:49" x14ac:dyDescent="0.25">
      <c r="B103" s="37" t="s">
        <v>62</v>
      </c>
      <c r="C103" s="25">
        <v>3</v>
      </c>
      <c r="D103" s="9">
        <v>3</v>
      </c>
      <c r="E103" s="9">
        <v>3</v>
      </c>
      <c r="F103" s="9">
        <v>3</v>
      </c>
      <c r="G103" s="9">
        <v>3</v>
      </c>
      <c r="H103" s="9">
        <v>3</v>
      </c>
      <c r="I103" s="9">
        <v>3</v>
      </c>
      <c r="J103" s="9">
        <v>3</v>
      </c>
      <c r="K103" s="9">
        <v>3</v>
      </c>
      <c r="L103" s="9">
        <v>3</v>
      </c>
      <c r="M103" s="9">
        <v>3</v>
      </c>
      <c r="N103" s="9">
        <v>3</v>
      </c>
      <c r="O103" s="9">
        <v>3</v>
      </c>
      <c r="P103" s="9">
        <v>3</v>
      </c>
      <c r="Q103" s="9">
        <v>3</v>
      </c>
      <c r="R103" s="9">
        <v>3</v>
      </c>
      <c r="S103" s="9">
        <v>3</v>
      </c>
      <c r="T103" s="9">
        <v>3</v>
      </c>
      <c r="U103" s="9">
        <v>3</v>
      </c>
      <c r="V103" s="9">
        <v>3</v>
      </c>
      <c r="W103" s="9">
        <v>3</v>
      </c>
      <c r="X103" s="9">
        <v>3</v>
      </c>
      <c r="Y103" s="9">
        <v>3</v>
      </c>
      <c r="Z103" s="9">
        <v>3</v>
      </c>
      <c r="AA103" s="8">
        <v>0</v>
      </c>
      <c r="AB103" s="8">
        <v>0</v>
      </c>
      <c r="AC103" s="8">
        <v>0</v>
      </c>
      <c r="AD103" s="8">
        <v>0</v>
      </c>
      <c r="AU103">
        <v>12</v>
      </c>
      <c r="AW103">
        <v>12</v>
      </c>
    </row>
    <row r="104" spans="2:49" x14ac:dyDescent="0.25">
      <c r="B104" s="44" t="s">
        <v>61</v>
      </c>
      <c r="C104" s="25">
        <v>3</v>
      </c>
      <c r="D104" s="9">
        <v>3</v>
      </c>
      <c r="E104" s="9">
        <v>3</v>
      </c>
      <c r="F104" s="9">
        <v>3</v>
      </c>
      <c r="G104" s="9">
        <v>3</v>
      </c>
      <c r="H104" s="9">
        <v>3</v>
      </c>
      <c r="I104" s="9">
        <v>3</v>
      </c>
      <c r="J104" s="9">
        <v>3</v>
      </c>
      <c r="K104" s="9">
        <v>3</v>
      </c>
      <c r="L104" s="9">
        <v>3</v>
      </c>
      <c r="M104" s="9">
        <v>3</v>
      </c>
      <c r="N104" s="9">
        <v>3</v>
      </c>
      <c r="O104" s="9">
        <v>3</v>
      </c>
      <c r="P104" s="9">
        <v>3</v>
      </c>
      <c r="Q104" s="9">
        <v>3</v>
      </c>
      <c r="R104" s="9">
        <v>3</v>
      </c>
      <c r="S104" s="9">
        <v>3</v>
      </c>
      <c r="T104" s="9">
        <v>3</v>
      </c>
      <c r="U104" s="9">
        <v>3</v>
      </c>
      <c r="V104" s="9">
        <v>3</v>
      </c>
      <c r="W104" s="9">
        <v>3</v>
      </c>
      <c r="X104" s="9">
        <v>3</v>
      </c>
      <c r="Y104" s="9">
        <v>3</v>
      </c>
      <c r="Z104" s="9">
        <v>3</v>
      </c>
      <c r="AA104" s="8">
        <v>0</v>
      </c>
      <c r="AB104" s="8">
        <v>0</v>
      </c>
      <c r="AC104" s="8">
        <v>0</v>
      </c>
      <c r="AD104" s="8">
        <v>0</v>
      </c>
      <c r="AU104">
        <v>10</v>
      </c>
      <c r="AW104">
        <v>10</v>
      </c>
    </row>
    <row r="105" spans="2:49" ht="15.75" x14ac:dyDescent="0.25">
      <c r="B105" s="45" t="s">
        <v>118</v>
      </c>
      <c r="C105" s="25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8">
        <v>0</v>
      </c>
      <c r="AB105" s="8">
        <v>0</v>
      </c>
      <c r="AC105" s="8">
        <v>0</v>
      </c>
      <c r="AD105" s="8">
        <v>0</v>
      </c>
      <c r="AU105">
        <v>8</v>
      </c>
      <c r="AW105">
        <v>8</v>
      </c>
    </row>
    <row r="106" spans="2:49" x14ac:dyDescent="0.25">
      <c r="B106" s="46" t="s">
        <v>63</v>
      </c>
      <c r="C106" s="25">
        <v>3</v>
      </c>
      <c r="D106" s="9">
        <v>3</v>
      </c>
      <c r="E106" s="9">
        <v>3</v>
      </c>
      <c r="F106" s="9">
        <v>3</v>
      </c>
      <c r="G106" s="9">
        <v>3</v>
      </c>
      <c r="H106" s="9">
        <v>3</v>
      </c>
      <c r="I106" s="9">
        <v>3</v>
      </c>
      <c r="J106" s="9">
        <v>3</v>
      </c>
      <c r="K106" s="9">
        <v>3</v>
      </c>
      <c r="L106" s="9">
        <v>3</v>
      </c>
      <c r="M106" s="9">
        <v>3</v>
      </c>
      <c r="N106" s="9">
        <v>3</v>
      </c>
      <c r="O106" s="9">
        <v>3</v>
      </c>
      <c r="P106" s="9">
        <v>3</v>
      </c>
      <c r="Q106" s="9">
        <v>3</v>
      </c>
      <c r="R106" s="9">
        <v>3</v>
      </c>
      <c r="S106" s="9">
        <v>3</v>
      </c>
      <c r="T106" s="9">
        <v>3</v>
      </c>
      <c r="U106" s="9">
        <v>3</v>
      </c>
      <c r="V106" s="9">
        <v>3</v>
      </c>
      <c r="W106" s="9">
        <v>3</v>
      </c>
      <c r="X106" s="9">
        <v>3</v>
      </c>
      <c r="Y106" s="9">
        <v>3</v>
      </c>
      <c r="Z106" s="9">
        <v>3</v>
      </c>
      <c r="AA106" s="8">
        <v>0</v>
      </c>
      <c r="AB106" s="8">
        <v>0</v>
      </c>
      <c r="AC106" s="8">
        <v>0</v>
      </c>
      <c r="AD106" s="8">
        <v>0</v>
      </c>
      <c r="AU106">
        <v>6</v>
      </c>
      <c r="AW106">
        <v>6</v>
      </c>
    </row>
    <row r="107" spans="2:49" ht="15.75" x14ac:dyDescent="0.25">
      <c r="B107" s="45" t="s">
        <v>119</v>
      </c>
      <c r="C107" s="25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8">
        <v>0</v>
      </c>
      <c r="AB107" s="8">
        <v>0</v>
      </c>
      <c r="AC107" s="8">
        <v>0</v>
      </c>
      <c r="AD107" s="8">
        <v>0</v>
      </c>
      <c r="AU107">
        <v>4</v>
      </c>
      <c r="AW107">
        <v>4</v>
      </c>
    </row>
    <row r="108" spans="2:49" x14ac:dyDescent="0.25">
      <c r="B108" s="37" t="s">
        <v>64</v>
      </c>
      <c r="C108" s="25">
        <v>3</v>
      </c>
      <c r="D108" s="9">
        <v>3</v>
      </c>
      <c r="E108" s="9">
        <v>3</v>
      </c>
      <c r="F108" s="9">
        <v>3</v>
      </c>
      <c r="G108" s="9">
        <v>3</v>
      </c>
      <c r="H108" s="9">
        <v>3</v>
      </c>
      <c r="I108" s="9">
        <v>3</v>
      </c>
      <c r="J108" s="9">
        <v>3</v>
      </c>
      <c r="K108" s="9">
        <v>3</v>
      </c>
      <c r="L108" s="9">
        <v>3</v>
      </c>
      <c r="M108" s="9">
        <v>3</v>
      </c>
      <c r="N108" s="9">
        <v>3</v>
      </c>
      <c r="O108" s="9">
        <v>3</v>
      </c>
      <c r="P108" s="9">
        <v>3</v>
      </c>
      <c r="Q108" s="9">
        <v>3</v>
      </c>
      <c r="R108" s="9">
        <v>3</v>
      </c>
      <c r="S108" s="9">
        <v>3</v>
      </c>
      <c r="T108" s="9">
        <v>3</v>
      </c>
      <c r="U108" s="9">
        <v>3</v>
      </c>
      <c r="V108" s="9">
        <v>3</v>
      </c>
      <c r="W108" s="9">
        <v>3</v>
      </c>
      <c r="X108" s="9">
        <v>3</v>
      </c>
      <c r="Y108" s="9">
        <v>3</v>
      </c>
      <c r="Z108" s="9">
        <v>3</v>
      </c>
      <c r="AA108" s="8">
        <v>0</v>
      </c>
      <c r="AB108" s="8">
        <v>0</v>
      </c>
      <c r="AC108" s="8">
        <v>0</v>
      </c>
      <c r="AD108" s="8">
        <v>0</v>
      </c>
      <c r="AU108">
        <v>2</v>
      </c>
      <c r="AW108">
        <v>2</v>
      </c>
    </row>
    <row r="109" spans="2:49" x14ac:dyDescent="0.25">
      <c r="B109" s="44" t="s">
        <v>65</v>
      </c>
      <c r="C109" s="25">
        <v>3</v>
      </c>
      <c r="D109" s="9">
        <v>3</v>
      </c>
      <c r="E109" s="9">
        <v>3</v>
      </c>
      <c r="F109" s="9">
        <v>3</v>
      </c>
      <c r="G109" s="9">
        <v>3</v>
      </c>
      <c r="H109" s="9">
        <v>3</v>
      </c>
      <c r="I109" s="9">
        <v>3</v>
      </c>
      <c r="J109" s="9">
        <v>3</v>
      </c>
      <c r="K109" s="9">
        <v>3</v>
      </c>
      <c r="L109" s="9">
        <v>3</v>
      </c>
      <c r="M109" s="9">
        <v>3</v>
      </c>
      <c r="N109" s="9">
        <v>3</v>
      </c>
      <c r="O109" s="9">
        <v>3</v>
      </c>
      <c r="P109" s="9">
        <v>3</v>
      </c>
      <c r="Q109" s="9">
        <v>3</v>
      </c>
      <c r="R109" s="9">
        <v>3</v>
      </c>
      <c r="S109" s="9">
        <v>3</v>
      </c>
      <c r="T109" s="9">
        <v>3</v>
      </c>
      <c r="U109" s="9">
        <v>3</v>
      </c>
      <c r="V109" s="9">
        <v>3</v>
      </c>
      <c r="W109" s="9">
        <v>3</v>
      </c>
      <c r="X109" s="9">
        <v>3</v>
      </c>
      <c r="Y109" s="9">
        <v>3</v>
      </c>
      <c r="Z109" s="9">
        <v>3</v>
      </c>
      <c r="AA109" s="8">
        <v>0</v>
      </c>
      <c r="AB109" s="8">
        <v>0</v>
      </c>
      <c r="AC109" s="8">
        <v>0</v>
      </c>
      <c r="AD109" s="8">
        <v>0</v>
      </c>
    </row>
    <row r="110" spans="2:49" ht="15.75" x14ac:dyDescent="0.25">
      <c r="B110" s="45" t="s">
        <v>120</v>
      </c>
      <c r="C110" s="25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8">
        <v>0</v>
      </c>
      <c r="AB110" s="8">
        <v>0</v>
      </c>
      <c r="AC110" s="8">
        <v>0</v>
      </c>
      <c r="AD110" s="8">
        <v>0</v>
      </c>
    </row>
    <row r="111" spans="2:49" x14ac:dyDescent="0.25">
      <c r="B111" s="46" t="s">
        <v>66</v>
      </c>
      <c r="C111" s="25">
        <v>3</v>
      </c>
      <c r="D111" s="9">
        <v>3</v>
      </c>
      <c r="E111" s="9">
        <v>3</v>
      </c>
      <c r="F111" s="9">
        <v>3</v>
      </c>
      <c r="G111" s="9">
        <v>3</v>
      </c>
      <c r="H111" s="9">
        <v>3</v>
      </c>
      <c r="I111" s="9">
        <v>3</v>
      </c>
      <c r="J111" s="9">
        <v>3</v>
      </c>
      <c r="K111" s="9">
        <v>3</v>
      </c>
      <c r="L111" s="9">
        <v>3</v>
      </c>
      <c r="M111" s="9">
        <v>3</v>
      </c>
      <c r="N111" s="9">
        <v>3</v>
      </c>
      <c r="O111" s="9">
        <v>3</v>
      </c>
      <c r="P111" s="9">
        <v>3</v>
      </c>
      <c r="Q111" s="9">
        <v>3</v>
      </c>
      <c r="R111" s="9">
        <v>3</v>
      </c>
      <c r="S111" s="9">
        <v>3</v>
      </c>
      <c r="T111" s="9">
        <v>3</v>
      </c>
      <c r="U111" s="9">
        <v>3</v>
      </c>
      <c r="V111" s="9">
        <v>3</v>
      </c>
      <c r="W111" s="9">
        <v>3</v>
      </c>
      <c r="X111" s="9">
        <v>3</v>
      </c>
      <c r="Y111" s="9">
        <v>3</v>
      </c>
      <c r="Z111" s="9">
        <v>3</v>
      </c>
      <c r="AA111" s="8">
        <v>0</v>
      </c>
      <c r="AB111" s="8">
        <v>0</v>
      </c>
      <c r="AC111" s="8">
        <v>0</v>
      </c>
      <c r="AD111" s="8">
        <v>0</v>
      </c>
    </row>
    <row r="112" spans="2:49" x14ac:dyDescent="0.25">
      <c r="B112" s="44" t="s">
        <v>67</v>
      </c>
      <c r="C112" s="25">
        <v>3</v>
      </c>
      <c r="D112" s="9">
        <v>3</v>
      </c>
      <c r="E112" s="9">
        <v>3</v>
      </c>
      <c r="F112" s="9">
        <v>3</v>
      </c>
      <c r="G112" s="9">
        <v>3</v>
      </c>
      <c r="H112" s="9">
        <v>3</v>
      </c>
      <c r="I112" s="9">
        <v>3</v>
      </c>
      <c r="J112" s="9">
        <v>3</v>
      </c>
      <c r="K112" s="9">
        <v>3</v>
      </c>
      <c r="L112" s="9">
        <v>3</v>
      </c>
      <c r="M112" s="9">
        <v>3</v>
      </c>
      <c r="N112" s="9">
        <v>3</v>
      </c>
      <c r="O112" s="9">
        <v>3</v>
      </c>
      <c r="P112" s="9">
        <v>3</v>
      </c>
      <c r="Q112" s="9">
        <v>3</v>
      </c>
      <c r="R112" s="9">
        <v>3</v>
      </c>
      <c r="S112" s="9">
        <v>3</v>
      </c>
      <c r="T112" s="9">
        <v>3</v>
      </c>
      <c r="U112" s="9">
        <v>3</v>
      </c>
      <c r="V112" s="9">
        <v>3</v>
      </c>
      <c r="W112" s="9">
        <v>3</v>
      </c>
      <c r="X112" s="9">
        <v>3</v>
      </c>
      <c r="Y112" s="9">
        <v>3</v>
      </c>
      <c r="Z112" s="9">
        <v>3</v>
      </c>
      <c r="AA112" s="8">
        <v>0</v>
      </c>
      <c r="AB112" s="8">
        <v>0</v>
      </c>
      <c r="AC112" s="8">
        <v>0</v>
      </c>
      <c r="AD112" s="8">
        <v>0</v>
      </c>
    </row>
    <row r="113" spans="2:30" ht="15.75" x14ac:dyDescent="0.25">
      <c r="B113" s="45" t="s">
        <v>121</v>
      </c>
      <c r="C113" s="25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8">
        <v>0</v>
      </c>
      <c r="AB113" s="8">
        <v>0</v>
      </c>
      <c r="AC113" s="8">
        <v>0</v>
      </c>
      <c r="AD113" s="8">
        <v>0</v>
      </c>
    </row>
    <row r="114" spans="2:30" x14ac:dyDescent="0.25">
      <c r="B114" s="46" t="s">
        <v>68</v>
      </c>
      <c r="C114" s="25">
        <v>4</v>
      </c>
      <c r="D114" s="9">
        <v>4</v>
      </c>
      <c r="E114" s="9">
        <v>4</v>
      </c>
      <c r="F114" s="9">
        <v>4</v>
      </c>
      <c r="G114" s="9">
        <v>4</v>
      </c>
      <c r="H114" s="9">
        <v>4</v>
      </c>
      <c r="I114" s="9">
        <v>4</v>
      </c>
      <c r="J114" s="9">
        <v>4</v>
      </c>
      <c r="K114" s="9">
        <v>4</v>
      </c>
      <c r="L114" s="9">
        <v>4</v>
      </c>
      <c r="M114" s="9">
        <v>4</v>
      </c>
      <c r="N114" s="9">
        <v>4</v>
      </c>
      <c r="O114" s="9">
        <v>4</v>
      </c>
      <c r="P114" s="9">
        <v>4</v>
      </c>
      <c r="Q114" s="9">
        <v>4</v>
      </c>
      <c r="R114" s="9">
        <v>4</v>
      </c>
      <c r="S114" s="9">
        <v>4</v>
      </c>
      <c r="T114" s="9">
        <v>4</v>
      </c>
      <c r="U114" s="9">
        <v>4</v>
      </c>
      <c r="V114" s="9">
        <v>4</v>
      </c>
      <c r="W114" s="9">
        <v>4</v>
      </c>
      <c r="X114" s="9">
        <v>4</v>
      </c>
      <c r="Y114" s="9">
        <v>4</v>
      </c>
      <c r="Z114" s="9">
        <v>4</v>
      </c>
      <c r="AA114" s="8">
        <v>0</v>
      </c>
      <c r="AB114" s="8">
        <v>0</v>
      </c>
      <c r="AC114" s="8">
        <v>0</v>
      </c>
      <c r="AD114" s="8">
        <v>0</v>
      </c>
    </row>
    <row r="115" spans="2:30" x14ac:dyDescent="0.25">
      <c r="B115" s="23" t="s">
        <v>132</v>
      </c>
      <c r="C115" s="25">
        <v>3</v>
      </c>
      <c r="D115" s="9">
        <v>3</v>
      </c>
      <c r="E115" s="9">
        <v>3</v>
      </c>
      <c r="F115" s="9">
        <v>3</v>
      </c>
      <c r="G115" s="9">
        <v>3</v>
      </c>
      <c r="H115" s="9">
        <v>3</v>
      </c>
      <c r="I115" s="9">
        <v>3</v>
      </c>
      <c r="J115" s="9">
        <v>3</v>
      </c>
      <c r="K115" s="9">
        <v>3</v>
      </c>
      <c r="L115" s="9">
        <v>3</v>
      </c>
      <c r="M115" s="9">
        <v>3</v>
      </c>
      <c r="N115" s="9">
        <v>3</v>
      </c>
      <c r="O115" s="9">
        <v>3</v>
      </c>
      <c r="P115" s="9">
        <v>3</v>
      </c>
      <c r="Q115" s="9">
        <v>3</v>
      </c>
      <c r="R115" s="9">
        <v>3</v>
      </c>
      <c r="S115" s="9">
        <v>3</v>
      </c>
      <c r="T115" s="9">
        <v>3</v>
      </c>
      <c r="U115" s="9">
        <v>3</v>
      </c>
      <c r="V115" s="9">
        <v>3</v>
      </c>
      <c r="W115" s="9">
        <v>3</v>
      </c>
      <c r="X115" s="9">
        <v>3</v>
      </c>
      <c r="Y115" s="9">
        <v>3</v>
      </c>
      <c r="Z115" s="9">
        <v>3</v>
      </c>
      <c r="AA115" s="8">
        <v>0</v>
      </c>
      <c r="AB115" s="8">
        <v>0</v>
      </c>
      <c r="AC115" s="8">
        <v>0</v>
      </c>
      <c r="AD115" s="8">
        <v>0</v>
      </c>
    </row>
    <row r="116" spans="2:30" ht="15.75" x14ac:dyDescent="0.25">
      <c r="B116" s="45" t="s">
        <v>122</v>
      </c>
      <c r="C116" s="25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8">
        <v>0</v>
      </c>
      <c r="AB116" s="8">
        <v>0</v>
      </c>
      <c r="AC116" s="8">
        <v>0</v>
      </c>
      <c r="AD116" s="8">
        <v>0</v>
      </c>
    </row>
    <row r="117" spans="2:30" x14ac:dyDescent="0.25">
      <c r="B117" s="46" t="s">
        <v>69</v>
      </c>
      <c r="C117" s="25">
        <v>3</v>
      </c>
      <c r="D117" s="9">
        <v>3</v>
      </c>
      <c r="E117" s="9">
        <v>3</v>
      </c>
      <c r="F117" s="9">
        <v>3</v>
      </c>
      <c r="G117" s="9">
        <v>3</v>
      </c>
      <c r="H117" s="9">
        <v>3</v>
      </c>
      <c r="I117" s="9">
        <v>3</v>
      </c>
      <c r="J117" s="9">
        <v>3</v>
      </c>
      <c r="K117" s="9">
        <v>3</v>
      </c>
      <c r="L117" s="9">
        <v>3</v>
      </c>
      <c r="M117" s="9">
        <v>3</v>
      </c>
      <c r="N117" s="9">
        <v>3</v>
      </c>
      <c r="O117" s="9">
        <v>3</v>
      </c>
      <c r="P117" s="9">
        <v>3</v>
      </c>
      <c r="Q117" s="9">
        <v>3</v>
      </c>
      <c r="R117" s="9">
        <v>3</v>
      </c>
      <c r="S117" s="9">
        <v>3</v>
      </c>
      <c r="T117" s="9">
        <v>3</v>
      </c>
      <c r="U117" s="9">
        <v>3</v>
      </c>
      <c r="V117" s="9">
        <v>3</v>
      </c>
      <c r="W117" s="9">
        <v>3</v>
      </c>
      <c r="X117" s="9">
        <v>3</v>
      </c>
      <c r="Y117" s="9">
        <v>3</v>
      </c>
      <c r="Z117" s="9">
        <v>3</v>
      </c>
      <c r="AA117" s="8">
        <v>0</v>
      </c>
      <c r="AB117" s="8">
        <v>0</v>
      </c>
      <c r="AC117" s="8">
        <v>0</v>
      </c>
      <c r="AD117" s="8">
        <v>0</v>
      </c>
    </row>
    <row r="118" spans="2:30" x14ac:dyDescent="0.25">
      <c r="B118" s="44" t="s">
        <v>70</v>
      </c>
      <c r="C118" s="25">
        <v>3</v>
      </c>
      <c r="D118" s="9">
        <v>3</v>
      </c>
      <c r="E118" s="9">
        <v>3</v>
      </c>
      <c r="F118" s="9">
        <v>3</v>
      </c>
      <c r="G118" s="9">
        <v>3</v>
      </c>
      <c r="H118" s="9">
        <v>3</v>
      </c>
      <c r="I118" s="9">
        <v>3</v>
      </c>
      <c r="J118" s="9">
        <v>3</v>
      </c>
      <c r="K118" s="9">
        <v>3</v>
      </c>
      <c r="L118" s="9">
        <v>3</v>
      </c>
      <c r="M118" s="9">
        <v>3</v>
      </c>
      <c r="N118" s="9">
        <v>3</v>
      </c>
      <c r="O118" s="9">
        <v>3</v>
      </c>
      <c r="P118" s="9">
        <v>3</v>
      </c>
      <c r="Q118" s="9">
        <v>3</v>
      </c>
      <c r="R118" s="9">
        <v>3</v>
      </c>
      <c r="S118" s="9">
        <v>3</v>
      </c>
      <c r="T118" s="9">
        <v>3</v>
      </c>
      <c r="U118" s="9">
        <v>3</v>
      </c>
      <c r="V118" s="9">
        <v>3</v>
      </c>
      <c r="W118" s="9">
        <v>3</v>
      </c>
      <c r="X118" s="9">
        <v>3</v>
      </c>
      <c r="Y118" s="9">
        <v>3</v>
      </c>
      <c r="Z118" s="9">
        <v>3</v>
      </c>
      <c r="AA118" s="8">
        <v>0</v>
      </c>
      <c r="AB118" s="8">
        <v>0</v>
      </c>
      <c r="AC118" s="8">
        <v>0</v>
      </c>
      <c r="AD118" s="8">
        <v>0</v>
      </c>
    </row>
    <row r="119" spans="2:30" ht="15.75" x14ac:dyDescent="0.25">
      <c r="B119" s="45" t="s">
        <v>123</v>
      </c>
      <c r="C119" s="25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8">
        <v>0</v>
      </c>
      <c r="AB119" s="8">
        <v>0</v>
      </c>
      <c r="AC119" s="8">
        <v>0</v>
      </c>
      <c r="AD119" s="8">
        <v>0</v>
      </c>
    </row>
    <row r="120" spans="2:30" x14ac:dyDescent="0.25">
      <c r="B120" s="46" t="s">
        <v>71</v>
      </c>
      <c r="C120" s="25">
        <v>4</v>
      </c>
      <c r="D120" s="9">
        <v>4</v>
      </c>
      <c r="E120" s="9">
        <v>4</v>
      </c>
      <c r="F120" s="9">
        <v>4</v>
      </c>
      <c r="G120" s="9">
        <v>4</v>
      </c>
      <c r="H120" s="9">
        <v>4</v>
      </c>
      <c r="I120" s="9">
        <v>4</v>
      </c>
      <c r="J120" s="9">
        <v>4</v>
      </c>
      <c r="K120" s="9">
        <v>4</v>
      </c>
      <c r="L120" s="9">
        <v>4</v>
      </c>
      <c r="M120" s="9">
        <v>4</v>
      </c>
      <c r="N120" s="9">
        <v>4</v>
      </c>
      <c r="O120" s="9">
        <v>4</v>
      </c>
      <c r="P120" s="9">
        <v>4</v>
      </c>
      <c r="Q120" s="9">
        <v>4</v>
      </c>
      <c r="R120" s="9">
        <v>4</v>
      </c>
      <c r="S120" s="9">
        <v>4</v>
      </c>
      <c r="T120" s="9">
        <v>4</v>
      </c>
      <c r="U120" s="9">
        <v>4</v>
      </c>
      <c r="V120" s="9">
        <v>4</v>
      </c>
      <c r="W120" s="9">
        <v>4</v>
      </c>
      <c r="X120" s="9">
        <v>4</v>
      </c>
      <c r="Y120" s="9">
        <v>4</v>
      </c>
      <c r="Z120" s="9">
        <v>4</v>
      </c>
      <c r="AA120" s="8">
        <v>0</v>
      </c>
      <c r="AB120" s="8">
        <v>0</v>
      </c>
      <c r="AC120" s="8">
        <v>0</v>
      </c>
      <c r="AD120" s="8">
        <v>0</v>
      </c>
    </row>
    <row r="121" spans="2:30" x14ac:dyDescent="0.25">
      <c r="B121" s="44" t="s">
        <v>72</v>
      </c>
      <c r="C121" s="25">
        <v>3</v>
      </c>
      <c r="D121" s="9">
        <v>3</v>
      </c>
      <c r="E121" s="9">
        <v>3</v>
      </c>
      <c r="F121" s="9">
        <v>3</v>
      </c>
      <c r="G121" s="9">
        <v>3</v>
      </c>
      <c r="H121" s="9">
        <v>3</v>
      </c>
      <c r="I121" s="9">
        <v>3</v>
      </c>
      <c r="J121" s="9">
        <v>3</v>
      </c>
      <c r="K121" s="9">
        <v>3</v>
      </c>
      <c r="L121" s="9">
        <v>3</v>
      </c>
      <c r="M121" s="9">
        <v>3</v>
      </c>
      <c r="N121" s="9">
        <v>3</v>
      </c>
      <c r="O121" s="9">
        <v>3</v>
      </c>
      <c r="P121" s="9">
        <v>3</v>
      </c>
      <c r="Q121" s="9">
        <v>3</v>
      </c>
      <c r="R121" s="9">
        <v>3</v>
      </c>
      <c r="S121" s="9">
        <v>3</v>
      </c>
      <c r="T121" s="9">
        <v>3</v>
      </c>
      <c r="U121" s="9">
        <v>3</v>
      </c>
      <c r="V121" s="9">
        <v>3</v>
      </c>
      <c r="W121" s="9">
        <v>3</v>
      </c>
      <c r="X121" s="9">
        <v>3</v>
      </c>
      <c r="Y121" s="9">
        <v>3</v>
      </c>
      <c r="Z121" s="9">
        <v>3</v>
      </c>
      <c r="AA121" s="8">
        <v>0</v>
      </c>
      <c r="AB121" s="8">
        <v>0</v>
      </c>
      <c r="AC121" s="8">
        <v>0</v>
      </c>
      <c r="AD121" s="8">
        <v>0</v>
      </c>
    </row>
    <row r="122" spans="2:30" ht="15.75" x14ac:dyDescent="0.25">
      <c r="B122" s="45" t="s">
        <v>124</v>
      </c>
      <c r="C122" s="25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8">
        <v>0</v>
      </c>
      <c r="AB122" s="8">
        <v>0</v>
      </c>
      <c r="AC122" s="8">
        <v>0</v>
      </c>
      <c r="AD122" s="8">
        <v>0</v>
      </c>
    </row>
    <row r="123" spans="2:30" x14ac:dyDescent="0.25">
      <c r="B123" s="46" t="s">
        <v>73</v>
      </c>
      <c r="C123" s="25">
        <v>4</v>
      </c>
      <c r="D123" s="9">
        <v>4</v>
      </c>
      <c r="E123" s="9">
        <v>4</v>
      </c>
      <c r="F123" s="9">
        <v>4</v>
      </c>
      <c r="G123" s="9">
        <v>4</v>
      </c>
      <c r="H123" s="9">
        <v>4</v>
      </c>
      <c r="I123" s="9">
        <v>4</v>
      </c>
      <c r="J123" s="9">
        <v>4</v>
      </c>
      <c r="K123" s="9">
        <v>4</v>
      </c>
      <c r="L123" s="9">
        <v>4</v>
      </c>
      <c r="M123" s="9">
        <v>4</v>
      </c>
      <c r="N123" s="9">
        <v>4</v>
      </c>
      <c r="O123" s="9">
        <v>4</v>
      </c>
      <c r="P123" s="9">
        <v>4</v>
      </c>
      <c r="Q123" s="9">
        <v>4</v>
      </c>
      <c r="R123" s="9">
        <v>4</v>
      </c>
      <c r="S123" s="9">
        <v>4</v>
      </c>
      <c r="T123" s="9">
        <v>4</v>
      </c>
      <c r="U123" s="9">
        <v>4</v>
      </c>
      <c r="V123" s="9">
        <v>4</v>
      </c>
      <c r="W123" s="9">
        <v>4</v>
      </c>
      <c r="X123" s="9">
        <v>4</v>
      </c>
      <c r="Y123" s="9">
        <v>4</v>
      </c>
      <c r="Z123" s="9">
        <v>4</v>
      </c>
      <c r="AA123" s="8">
        <v>0</v>
      </c>
      <c r="AB123" s="8">
        <v>0</v>
      </c>
      <c r="AC123" s="8">
        <v>0</v>
      </c>
      <c r="AD123" s="8">
        <v>0</v>
      </c>
    </row>
    <row r="124" spans="2:30" ht="15.75" x14ac:dyDescent="0.25">
      <c r="B124" s="45" t="s">
        <v>125</v>
      </c>
      <c r="C124" s="25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8">
        <v>0</v>
      </c>
      <c r="AC124" s="8">
        <v>0</v>
      </c>
      <c r="AD124" s="8">
        <v>0</v>
      </c>
    </row>
    <row r="125" spans="2:30" x14ac:dyDescent="0.25">
      <c r="B125" s="46" t="s">
        <v>76</v>
      </c>
      <c r="C125" s="25">
        <v>3</v>
      </c>
      <c r="D125" s="9">
        <v>3</v>
      </c>
      <c r="E125" s="9">
        <v>3</v>
      </c>
      <c r="F125" s="9">
        <v>3</v>
      </c>
      <c r="G125" s="9">
        <v>3</v>
      </c>
      <c r="H125" s="9">
        <v>3</v>
      </c>
      <c r="I125" s="9">
        <v>3</v>
      </c>
      <c r="J125" s="9">
        <v>3</v>
      </c>
      <c r="K125" s="9">
        <v>3</v>
      </c>
      <c r="L125" s="9">
        <v>3</v>
      </c>
      <c r="M125" s="9">
        <v>3</v>
      </c>
      <c r="N125" s="9">
        <v>3</v>
      </c>
      <c r="O125" s="9">
        <v>3</v>
      </c>
      <c r="P125" s="9">
        <v>3</v>
      </c>
      <c r="Q125" s="9">
        <v>3</v>
      </c>
      <c r="R125" s="9">
        <v>3</v>
      </c>
      <c r="S125" s="9">
        <v>3</v>
      </c>
      <c r="T125" s="9">
        <v>3</v>
      </c>
      <c r="U125" s="9">
        <v>3</v>
      </c>
      <c r="V125" s="9">
        <v>3</v>
      </c>
      <c r="W125" s="9">
        <v>3</v>
      </c>
      <c r="X125" s="9">
        <v>3</v>
      </c>
      <c r="Y125" s="9">
        <v>3</v>
      </c>
      <c r="Z125" s="9">
        <v>3</v>
      </c>
      <c r="AA125" s="9">
        <v>3</v>
      </c>
      <c r="AB125" s="8">
        <v>0</v>
      </c>
      <c r="AC125" s="8">
        <v>0</v>
      </c>
      <c r="AD125" s="8">
        <v>0</v>
      </c>
    </row>
    <row r="126" spans="2:30" x14ac:dyDescent="0.25">
      <c r="B126" s="47" t="s">
        <v>77</v>
      </c>
      <c r="C126" s="25">
        <v>2</v>
      </c>
      <c r="D126" s="9">
        <v>2</v>
      </c>
      <c r="E126" s="9">
        <v>2</v>
      </c>
      <c r="F126" s="9">
        <v>2</v>
      </c>
      <c r="G126" s="9">
        <v>2</v>
      </c>
      <c r="H126" s="9">
        <v>2</v>
      </c>
      <c r="I126" s="9">
        <v>2</v>
      </c>
      <c r="J126" s="9">
        <v>2</v>
      </c>
      <c r="K126" s="9">
        <v>2</v>
      </c>
      <c r="L126" s="9">
        <v>2</v>
      </c>
      <c r="M126" s="9">
        <v>2</v>
      </c>
      <c r="N126" s="9">
        <v>2</v>
      </c>
      <c r="O126" s="9">
        <v>2</v>
      </c>
      <c r="P126" s="9">
        <v>2</v>
      </c>
      <c r="Q126" s="9">
        <v>2</v>
      </c>
      <c r="R126" s="9">
        <v>2</v>
      </c>
      <c r="S126" s="9">
        <v>2</v>
      </c>
      <c r="T126" s="9">
        <v>2</v>
      </c>
      <c r="U126" s="9">
        <v>2</v>
      </c>
      <c r="V126" s="9">
        <v>2</v>
      </c>
      <c r="W126" s="9">
        <v>2</v>
      </c>
      <c r="X126" s="9">
        <v>2</v>
      </c>
      <c r="Y126" s="9">
        <v>2</v>
      </c>
      <c r="Z126" s="9">
        <v>2</v>
      </c>
      <c r="AA126" s="9">
        <v>3</v>
      </c>
      <c r="AB126" s="2">
        <v>0</v>
      </c>
      <c r="AC126" s="2">
        <v>0</v>
      </c>
      <c r="AD126" s="2">
        <v>0</v>
      </c>
    </row>
    <row r="127" spans="2:30" ht="15.75" x14ac:dyDescent="0.25">
      <c r="B127" s="39" t="s">
        <v>98</v>
      </c>
      <c r="C127" s="25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2">
        <v>0</v>
      </c>
      <c r="AC127" s="2">
        <v>0</v>
      </c>
      <c r="AD127" s="2">
        <v>0</v>
      </c>
    </row>
    <row r="128" spans="2:30" x14ac:dyDescent="0.25">
      <c r="B128" s="44" t="s">
        <v>78</v>
      </c>
      <c r="C128" s="25">
        <v>3</v>
      </c>
      <c r="D128" s="9">
        <v>3</v>
      </c>
      <c r="E128" s="9">
        <v>3</v>
      </c>
      <c r="F128" s="9">
        <v>3</v>
      </c>
      <c r="G128" s="9">
        <v>3</v>
      </c>
      <c r="H128" s="9">
        <v>3</v>
      </c>
      <c r="I128" s="9">
        <v>3</v>
      </c>
      <c r="J128" s="9">
        <v>3</v>
      </c>
      <c r="K128" s="9">
        <v>3</v>
      </c>
      <c r="L128" s="9">
        <v>3</v>
      </c>
      <c r="M128" s="9">
        <v>3</v>
      </c>
      <c r="N128" s="9">
        <v>3</v>
      </c>
      <c r="O128" s="9">
        <v>3</v>
      </c>
      <c r="P128" s="9">
        <v>3</v>
      </c>
      <c r="Q128" s="9">
        <v>3</v>
      </c>
      <c r="R128" s="9">
        <v>3</v>
      </c>
      <c r="S128" s="9">
        <v>3</v>
      </c>
      <c r="T128" s="9">
        <v>3</v>
      </c>
      <c r="U128" s="9">
        <v>3</v>
      </c>
      <c r="V128" s="9">
        <v>3</v>
      </c>
      <c r="W128" s="9">
        <v>3</v>
      </c>
      <c r="X128" s="9">
        <v>3</v>
      </c>
      <c r="Y128" s="9">
        <v>3</v>
      </c>
      <c r="Z128" s="9">
        <v>3</v>
      </c>
      <c r="AA128" s="9">
        <v>3</v>
      </c>
      <c r="AB128" s="2">
        <v>0</v>
      </c>
      <c r="AC128" s="2">
        <v>0</v>
      </c>
      <c r="AD128" s="2">
        <v>0</v>
      </c>
    </row>
    <row r="129" spans="2:30" ht="15.75" x14ac:dyDescent="0.25">
      <c r="B129" s="45" t="s">
        <v>126</v>
      </c>
      <c r="C129" s="25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2">
        <v>0</v>
      </c>
      <c r="AC129" s="2">
        <v>0</v>
      </c>
      <c r="AD129" s="2">
        <v>0</v>
      </c>
    </row>
    <row r="130" spans="2:30" x14ac:dyDescent="0.25">
      <c r="B130" s="46" t="s">
        <v>79</v>
      </c>
      <c r="C130" s="25">
        <v>3</v>
      </c>
      <c r="D130" s="9">
        <v>3</v>
      </c>
      <c r="E130" s="9">
        <v>3</v>
      </c>
      <c r="F130" s="9">
        <v>3</v>
      </c>
      <c r="G130" s="9">
        <v>3</v>
      </c>
      <c r="H130" s="9">
        <v>3</v>
      </c>
      <c r="I130" s="9">
        <v>3</v>
      </c>
      <c r="J130" s="9">
        <v>3</v>
      </c>
      <c r="K130" s="9">
        <v>3</v>
      </c>
      <c r="L130" s="9">
        <v>3</v>
      </c>
      <c r="M130" s="9">
        <v>3</v>
      </c>
      <c r="N130" s="9">
        <v>3</v>
      </c>
      <c r="O130" s="9">
        <v>3</v>
      </c>
      <c r="P130" s="9">
        <v>3</v>
      </c>
      <c r="Q130" s="9">
        <v>3</v>
      </c>
      <c r="R130" s="9">
        <v>3</v>
      </c>
      <c r="S130" s="9">
        <v>3</v>
      </c>
      <c r="T130" s="9">
        <v>3</v>
      </c>
      <c r="U130" s="9">
        <v>3</v>
      </c>
      <c r="V130" s="9">
        <v>3</v>
      </c>
      <c r="W130" s="9">
        <v>3</v>
      </c>
      <c r="X130" s="9">
        <v>3</v>
      </c>
      <c r="Y130" s="9">
        <v>3</v>
      </c>
      <c r="Z130" s="9">
        <v>3</v>
      </c>
      <c r="AA130" s="9">
        <v>3</v>
      </c>
      <c r="AB130" s="2">
        <v>0</v>
      </c>
      <c r="AC130" s="2">
        <v>0</v>
      </c>
      <c r="AD130" s="2">
        <v>0</v>
      </c>
    </row>
    <row r="131" spans="2:30" x14ac:dyDescent="0.25">
      <c r="B131" s="44" t="s">
        <v>80</v>
      </c>
      <c r="C131" s="25">
        <v>3</v>
      </c>
      <c r="D131" s="9">
        <v>3</v>
      </c>
      <c r="E131" s="9">
        <v>3</v>
      </c>
      <c r="F131" s="9">
        <v>3</v>
      </c>
      <c r="G131" s="9">
        <v>3</v>
      </c>
      <c r="H131" s="9">
        <v>3</v>
      </c>
      <c r="I131" s="9">
        <v>3</v>
      </c>
      <c r="J131" s="9">
        <v>3</v>
      </c>
      <c r="K131" s="9">
        <v>3</v>
      </c>
      <c r="L131" s="9">
        <v>3</v>
      </c>
      <c r="M131" s="9">
        <v>3</v>
      </c>
      <c r="N131" s="9">
        <v>3</v>
      </c>
      <c r="O131" s="9">
        <v>3</v>
      </c>
      <c r="P131" s="9">
        <v>3</v>
      </c>
      <c r="Q131" s="9">
        <v>3</v>
      </c>
      <c r="R131" s="9">
        <v>3</v>
      </c>
      <c r="S131" s="9">
        <v>3</v>
      </c>
      <c r="T131" s="9">
        <v>3</v>
      </c>
      <c r="U131" s="9">
        <v>3</v>
      </c>
      <c r="V131" s="9">
        <v>3</v>
      </c>
      <c r="W131" s="9">
        <v>3</v>
      </c>
      <c r="X131" s="9">
        <v>3</v>
      </c>
      <c r="Y131" s="9">
        <v>3</v>
      </c>
      <c r="Z131" s="9">
        <v>3</v>
      </c>
      <c r="AA131" s="9">
        <v>3</v>
      </c>
      <c r="AB131" s="2">
        <v>0</v>
      </c>
      <c r="AC131" s="2">
        <v>0</v>
      </c>
      <c r="AD131" s="2">
        <v>0</v>
      </c>
    </row>
    <row r="132" spans="2:30" ht="15.75" x14ac:dyDescent="0.25">
      <c r="B132" s="45" t="s">
        <v>127</v>
      </c>
      <c r="C132" s="25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2">
        <v>0</v>
      </c>
      <c r="AD132" s="2">
        <v>0</v>
      </c>
    </row>
    <row r="133" spans="2:30" x14ac:dyDescent="0.25">
      <c r="B133" s="46" t="s">
        <v>82</v>
      </c>
      <c r="C133" s="25">
        <v>2</v>
      </c>
      <c r="D133" s="9">
        <v>2</v>
      </c>
      <c r="E133" s="9">
        <v>2</v>
      </c>
      <c r="F133" s="9">
        <v>2</v>
      </c>
      <c r="G133" s="9">
        <v>2</v>
      </c>
      <c r="H133" s="9">
        <v>2</v>
      </c>
      <c r="I133" s="9">
        <v>2</v>
      </c>
      <c r="J133" s="9">
        <v>2</v>
      </c>
      <c r="K133" s="9">
        <v>2</v>
      </c>
      <c r="L133" s="9">
        <v>2</v>
      </c>
      <c r="M133" s="9">
        <v>2</v>
      </c>
      <c r="N133" s="9">
        <v>2</v>
      </c>
      <c r="O133" s="9">
        <v>2</v>
      </c>
      <c r="P133" s="9">
        <v>2</v>
      </c>
      <c r="Q133" s="9">
        <v>2</v>
      </c>
      <c r="R133" s="9">
        <v>2</v>
      </c>
      <c r="S133" s="9">
        <v>2</v>
      </c>
      <c r="T133" s="9">
        <v>2</v>
      </c>
      <c r="U133" s="9">
        <v>2</v>
      </c>
      <c r="V133" s="9">
        <v>2</v>
      </c>
      <c r="W133" s="9">
        <v>2</v>
      </c>
      <c r="X133" s="9">
        <v>2</v>
      </c>
      <c r="Y133" s="9">
        <v>2</v>
      </c>
      <c r="Z133" s="9">
        <v>2</v>
      </c>
      <c r="AA133" s="9">
        <v>2</v>
      </c>
      <c r="AB133" s="9">
        <v>2</v>
      </c>
      <c r="AC133" s="2">
        <v>0</v>
      </c>
      <c r="AD133" s="2">
        <v>0</v>
      </c>
    </row>
    <row r="134" spans="2:30" x14ac:dyDescent="0.25">
      <c r="B134" s="44" t="s">
        <v>83</v>
      </c>
      <c r="C134" s="25">
        <v>2</v>
      </c>
      <c r="D134" s="9">
        <v>2</v>
      </c>
      <c r="E134" s="9">
        <v>2</v>
      </c>
      <c r="F134" s="9">
        <v>2</v>
      </c>
      <c r="G134" s="9">
        <v>2</v>
      </c>
      <c r="H134" s="9">
        <v>2</v>
      </c>
      <c r="I134" s="9">
        <v>2</v>
      </c>
      <c r="J134" s="9">
        <v>2</v>
      </c>
      <c r="K134" s="9">
        <v>2</v>
      </c>
      <c r="L134" s="9">
        <v>2</v>
      </c>
      <c r="M134" s="9">
        <v>2</v>
      </c>
      <c r="N134" s="9">
        <v>2</v>
      </c>
      <c r="O134" s="9">
        <v>2</v>
      </c>
      <c r="P134" s="9">
        <v>2</v>
      </c>
      <c r="Q134" s="9">
        <v>2</v>
      </c>
      <c r="R134" s="9">
        <v>2</v>
      </c>
      <c r="S134" s="9">
        <v>2</v>
      </c>
      <c r="T134" s="9">
        <v>2</v>
      </c>
      <c r="U134" s="9">
        <v>2</v>
      </c>
      <c r="V134" s="9">
        <v>2</v>
      </c>
      <c r="W134" s="9">
        <v>2</v>
      </c>
      <c r="X134" s="9">
        <v>2</v>
      </c>
      <c r="Y134" s="9">
        <v>2</v>
      </c>
      <c r="Z134" s="9">
        <v>2</v>
      </c>
      <c r="AA134" s="9">
        <v>2</v>
      </c>
      <c r="AB134" s="9">
        <v>2</v>
      </c>
      <c r="AC134" s="2">
        <v>0</v>
      </c>
      <c r="AD134" s="2">
        <v>0</v>
      </c>
    </row>
    <row r="135" spans="2:30" ht="15.75" x14ac:dyDescent="0.25">
      <c r="B135" s="45" t="s">
        <v>127</v>
      </c>
      <c r="C135" s="25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2">
        <v>0</v>
      </c>
      <c r="AD135" s="2">
        <v>0</v>
      </c>
    </row>
    <row r="136" spans="2:30" x14ac:dyDescent="0.25">
      <c r="B136" s="10" t="s">
        <v>82</v>
      </c>
      <c r="C136" s="25">
        <v>3</v>
      </c>
      <c r="D136" s="9">
        <v>3</v>
      </c>
      <c r="E136" s="9">
        <v>3</v>
      </c>
      <c r="F136" s="9">
        <v>3</v>
      </c>
      <c r="G136" s="9">
        <v>3</v>
      </c>
      <c r="H136" s="9">
        <v>3</v>
      </c>
      <c r="I136" s="9">
        <v>3</v>
      </c>
      <c r="J136" s="9">
        <v>3</v>
      </c>
      <c r="K136" s="9">
        <v>3</v>
      </c>
      <c r="L136" s="9">
        <v>3</v>
      </c>
      <c r="M136" s="9">
        <v>3</v>
      </c>
      <c r="N136" s="9">
        <v>3</v>
      </c>
      <c r="O136" s="9">
        <v>3</v>
      </c>
      <c r="P136" s="9">
        <v>3</v>
      </c>
      <c r="Q136" s="9">
        <v>3</v>
      </c>
      <c r="R136" s="9">
        <v>3</v>
      </c>
      <c r="S136" s="9">
        <v>3</v>
      </c>
      <c r="T136" s="9">
        <v>3</v>
      </c>
      <c r="U136" s="9">
        <v>3</v>
      </c>
      <c r="V136" s="9">
        <v>3</v>
      </c>
      <c r="W136" s="9">
        <v>3</v>
      </c>
      <c r="X136" s="9">
        <v>3</v>
      </c>
      <c r="Y136" s="9">
        <v>3</v>
      </c>
      <c r="Z136" s="9">
        <v>3</v>
      </c>
      <c r="AA136" s="9">
        <v>3</v>
      </c>
      <c r="AB136" s="9">
        <v>3</v>
      </c>
      <c r="AC136" s="2">
        <v>0</v>
      </c>
      <c r="AD136" s="2">
        <v>0</v>
      </c>
    </row>
    <row r="137" spans="2:30" ht="15.75" x14ac:dyDescent="0.25">
      <c r="B137" s="39" t="s">
        <v>128</v>
      </c>
      <c r="C137" s="25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2:30" x14ac:dyDescent="0.25">
      <c r="B138" s="23" t="s">
        <v>81</v>
      </c>
      <c r="C138" s="25">
        <v>4</v>
      </c>
      <c r="D138" s="9">
        <v>4</v>
      </c>
      <c r="E138" s="9">
        <v>4</v>
      </c>
      <c r="F138" s="9">
        <v>4</v>
      </c>
      <c r="G138" s="9">
        <v>4</v>
      </c>
      <c r="H138" s="9">
        <v>4</v>
      </c>
      <c r="I138" s="9">
        <v>4</v>
      </c>
      <c r="J138" s="9">
        <v>4</v>
      </c>
      <c r="K138" s="9">
        <v>4</v>
      </c>
      <c r="L138" s="9">
        <v>4</v>
      </c>
      <c r="M138" s="9">
        <v>4</v>
      </c>
      <c r="N138" s="9">
        <v>4</v>
      </c>
      <c r="O138" s="9">
        <v>4</v>
      </c>
      <c r="P138" s="9">
        <v>4</v>
      </c>
      <c r="Q138" s="9">
        <v>4</v>
      </c>
      <c r="R138" s="9">
        <v>4</v>
      </c>
      <c r="S138" s="9">
        <v>4</v>
      </c>
      <c r="T138" s="9">
        <v>4</v>
      </c>
      <c r="U138" s="9">
        <v>4</v>
      </c>
      <c r="V138" s="9">
        <v>4</v>
      </c>
      <c r="W138" s="9">
        <v>4</v>
      </c>
      <c r="X138" s="9">
        <v>4</v>
      </c>
      <c r="Y138" s="9">
        <v>4</v>
      </c>
      <c r="Z138" s="9">
        <v>4</v>
      </c>
      <c r="AA138" s="9">
        <v>4</v>
      </c>
      <c r="AB138" s="9">
        <v>4</v>
      </c>
      <c r="AC138" s="9">
        <v>4</v>
      </c>
      <c r="AD138" s="9">
        <v>4</v>
      </c>
    </row>
    <row r="139" spans="2:30" x14ac:dyDescent="0.25">
      <c r="B139" s="36" t="s">
        <v>84</v>
      </c>
      <c r="C139" s="25">
        <v>4</v>
      </c>
      <c r="D139" s="9">
        <v>4</v>
      </c>
      <c r="E139" s="9">
        <v>4</v>
      </c>
      <c r="F139" s="9">
        <v>4</v>
      </c>
      <c r="G139" s="9">
        <v>4</v>
      </c>
      <c r="H139" s="9">
        <v>4</v>
      </c>
      <c r="I139" s="9">
        <v>4</v>
      </c>
      <c r="J139" s="9">
        <v>4</v>
      </c>
      <c r="K139" s="9">
        <v>4</v>
      </c>
      <c r="L139" s="9">
        <v>4</v>
      </c>
      <c r="M139" s="9">
        <v>4</v>
      </c>
      <c r="N139" s="9">
        <v>4</v>
      </c>
      <c r="O139" s="9">
        <v>4</v>
      </c>
      <c r="P139" s="9">
        <v>4</v>
      </c>
      <c r="Q139" s="9">
        <v>4</v>
      </c>
      <c r="R139" s="9">
        <v>4</v>
      </c>
      <c r="S139" s="9">
        <v>4</v>
      </c>
      <c r="T139" s="9">
        <v>4</v>
      </c>
      <c r="U139" s="9">
        <v>4</v>
      </c>
      <c r="V139" s="9">
        <v>4</v>
      </c>
      <c r="W139" s="9">
        <v>4</v>
      </c>
      <c r="X139" s="9">
        <v>4</v>
      </c>
      <c r="Y139" s="9">
        <v>4</v>
      </c>
      <c r="Z139" s="9">
        <v>4</v>
      </c>
      <c r="AA139" s="9">
        <v>4</v>
      </c>
      <c r="AB139" s="9">
        <v>4</v>
      </c>
      <c r="AC139" s="9">
        <v>4</v>
      </c>
      <c r="AD139" s="9">
        <v>4</v>
      </c>
    </row>
    <row r="140" spans="2:30" ht="15.75" x14ac:dyDescent="0.25">
      <c r="B140" s="45" t="s">
        <v>97</v>
      </c>
      <c r="C140" s="25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>
        <v>0</v>
      </c>
      <c r="AA140" s="9"/>
      <c r="AB140" s="9"/>
      <c r="AC140" s="9"/>
      <c r="AD140" s="9"/>
    </row>
    <row r="141" spans="2:30" x14ac:dyDescent="0.25">
      <c r="B141" s="36" t="s">
        <v>96</v>
      </c>
      <c r="C141" s="25">
        <v>3</v>
      </c>
      <c r="D141" s="9">
        <v>3</v>
      </c>
      <c r="E141" s="9">
        <v>3</v>
      </c>
      <c r="F141" s="9">
        <v>3</v>
      </c>
      <c r="G141" s="9">
        <v>3</v>
      </c>
      <c r="H141" s="9">
        <v>3</v>
      </c>
      <c r="I141" s="9">
        <v>3</v>
      </c>
      <c r="J141" s="9">
        <v>3</v>
      </c>
      <c r="K141" s="9">
        <v>3</v>
      </c>
      <c r="L141" s="9">
        <v>3</v>
      </c>
      <c r="M141" s="9">
        <v>3</v>
      </c>
      <c r="N141" s="9">
        <v>3</v>
      </c>
      <c r="O141" s="9">
        <v>3</v>
      </c>
      <c r="P141" s="9">
        <v>3</v>
      </c>
      <c r="Q141" s="9">
        <v>3</v>
      </c>
      <c r="R141" s="9">
        <v>3</v>
      </c>
      <c r="S141" s="9">
        <v>3</v>
      </c>
      <c r="T141" s="9">
        <v>3</v>
      </c>
      <c r="U141" s="9">
        <v>3</v>
      </c>
      <c r="V141" s="9">
        <v>3</v>
      </c>
      <c r="W141" s="9">
        <v>3</v>
      </c>
      <c r="X141" s="9">
        <v>3</v>
      </c>
      <c r="Y141" s="9">
        <v>3</v>
      </c>
      <c r="Z141" s="9">
        <v>3</v>
      </c>
      <c r="AA141" s="9">
        <v>3</v>
      </c>
      <c r="AB141" s="9">
        <v>3</v>
      </c>
      <c r="AC141" s="9">
        <v>3</v>
      </c>
      <c r="AD141" s="9">
        <v>3</v>
      </c>
    </row>
    <row r="142" spans="2:30" x14ac:dyDescent="0.25">
      <c r="B142" s="48"/>
      <c r="C142" s="38">
        <f t="shared" ref="C142:AD142" si="4">SUM(C8:C141)</f>
        <v>231</v>
      </c>
      <c r="D142" s="15">
        <f t="shared" si="4"/>
        <v>225</v>
      </c>
      <c r="E142" s="15">
        <f t="shared" si="4"/>
        <v>225</v>
      </c>
      <c r="F142" s="15">
        <f t="shared" si="4"/>
        <v>221</v>
      </c>
      <c r="G142" s="15">
        <f t="shared" si="4"/>
        <v>217</v>
      </c>
      <c r="H142" s="15">
        <f t="shared" si="4"/>
        <v>217</v>
      </c>
      <c r="I142" s="15">
        <f t="shared" si="4"/>
        <v>205</v>
      </c>
      <c r="J142" s="15">
        <f t="shared" si="4"/>
        <v>201</v>
      </c>
      <c r="K142" s="15">
        <f t="shared" si="4"/>
        <v>203</v>
      </c>
      <c r="L142" s="15">
        <f t="shared" si="4"/>
        <v>201</v>
      </c>
      <c r="M142" s="15">
        <f t="shared" si="4"/>
        <v>201</v>
      </c>
      <c r="N142" s="15">
        <f t="shared" si="4"/>
        <v>201</v>
      </c>
      <c r="O142" s="15">
        <f t="shared" si="4"/>
        <v>194</v>
      </c>
      <c r="P142" s="15">
        <f t="shared" si="4"/>
        <v>190</v>
      </c>
      <c r="Q142" s="15">
        <f t="shared" si="4"/>
        <v>188</v>
      </c>
      <c r="R142" s="15">
        <f t="shared" si="4"/>
        <v>188</v>
      </c>
      <c r="S142" s="15">
        <f t="shared" si="4"/>
        <v>180</v>
      </c>
      <c r="T142" s="15">
        <f t="shared" si="4"/>
        <v>159</v>
      </c>
      <c r="U142" s="15">
        <f t="shared" si="4"/>
        <v>159</v>
      </c>
      <c r="V142" s="15">
        <f t="shared" si="4"/>
        <v>148</v>
      </c>
      <c r="W142" s="15">
        <f t="shared" si="4"/>
        <v>142</v>
      </c>
      <c r="X142" s="15">
        <f t="shared" si="4"/>
        <v>142</v>
      </c>
      <c r="Y142" s="15">
        <f t="shared" si="4"/>
        <v>103</v>
      </c>
      <c r="Z142" s="15">
        <f t="shared" si="4"/>
        <v>88</v>
      </c>
      <c r="AA142" s="15">
        <f t="shared" si="4"/>
        <v>33</v>
      </c>
      <c r="AB142" s="15">
        <f t="shared" si="4"/>
        <v>18</v>
      </c>
      <c r="AC142" s="15">
        <f t="shared" si="4"/>
        <v>11</v>
      </c>
      <c r="AD142" s="15">
        <f t="shared" si="4"/>
        <v>11</v>
      </c>
    </row>
  </sheetData>
  <mergeCells count="87">
    <mergeCell ref="AJ92:AK92"/>
    <mergeCell ref="AJ93:AK93"/>
    <mergeCell ref="AJ94:AK94"/>
    <mergeCell ref="AJ86:AK86"/>
    <mergeCell ref="AJ87:AK87"/>
    <mergeCell ref="AJ88:AK88"/>
    <mergeCell ref="AJ89:AK89"/>
    <mergeCell ref="AJ90:AK90"/>
    <mergeCell ref="AJ91:AK91"/>
    <mergeCell ref="AJ80:AK80"/>
    <mergeCell ref="AJ81:AK81"/>
    <mergeCell ref="AJ82:AK82"/>
    <mergeCell ref="AJ83:AK83"/>
    <mergeCell ref="AJ84:AK84"/>
    <mergeCell ref="AJ85:AK85"/>
    <mergeCell ref="AJ74:AK74"/>
    <mergeCell ref="AJ75:AK75"/>
    <mergeCell ref="AJ76:AK76"/>
    <mergeCell ref="AJ77:AK77"/>
    <mergeCell ref="AJ78:AK78"/>
    <mergeCell ref="AJ79:AK79"/>
    <mergeCell ref="AJ68:AK68"/>
    <mergeCell ref="AJ69:AK69"/>
    <mergeCell ref="AJ70:AK70"/>
    <mergeCell ref="AJ71:AK71"/>
    <mergeCell ref="AJ72:AK72"/>
    <mergeCell ref="AJ73:AK73"/>
    <mergeCell ref="AJ62:AK62"/>
    <mergeCell ref="AJ63:AK63"/>
    <mergeCell ref="AJ64:AK64"/>
    <mergeCell ref="AJ65:AK65"/>
    <mergeCell ref="AJ66:AK66"/>
    <mergeCell ref="AJ67:AK67"/>
    <mergeCell ref="AJ56:AK56"/>
    <mergeCell ref="AJ57:AK57"/>
    <mergeCell ref="AJ58:AK58"/>
    <mergeCell ref="AJ59:AK59"/>
    <mergeCell ref="AJ60:AK60"/>
    <mergeCell ref="AJ61:AK61"/>
    <mergeCell ref="AJ50:AK50"/>
    <mergeCell ref="AJ51:AK51"/>
    <mergeCell ref="AJ52:AK52"/>
    <mergeCell ref="AJ53:AK53"/>
    <mergeCell ref="AJ54:AK54"/>
    <mergeCell ref="AJ55:AK55"/>
    <mergeCell ref="AJ44:AK44"/>
    <mergeCell ref="AJ45:AK45"/>
    <mergeCell ref="AJ46:AK46"/>
    <mergeCell ref="AJ47:AK47"/>
    <mergeCell ref="AJ48:AK48"/>
    <mergeCell ref="AJ49:AK49"/>
    <mergeCell ref="AJ38:AK38"/>
    <mergeCell ref="AJ39:AK39"/>
    <mergeCell ref="AJ40:AK40"/>
    <mergeCell ref="AJ41:AK41"/>
    <mergeCell ref="AJ42:AK42"/>
    <mergeCell ref="AJ43:AK43"/>
    <mergeCell ref="AJ32:AK32"/>
    <mergeCell ref="AJ33:AK33"/>
    <mergeCell ref="AJ34:AK34"/>
    <mergeCell ref="AJ35:AK35"/>
    <mergeCell ref="AJ36:AK36"/>
    <mergeCell ref="AJ37:AK37"/>
    <mergeCell ref="AJ26:AK26"/>
    <mergeCell ref="AJ27:AK27"/>
    <mergeCell ref="AJ28:AK28"/>
    <mergeCell ref="AJ29:AK29"/>
    <mergeCell ref="AJ30:AK30"/>
    <mergeCell ref="AJ31:AK31"/>
    <mergeCell ref="AJ20:AK20"/>
    <mergeCell ref="AJ21:AK21"/>
    <mergeCell ref="AJ22:AK22"/>
    <mergeCell ref="AJ23:AK23"/>
    <mergeCell ref="AJ24:AK24"/>
    <mergeCell ref="AJ25:AK25"/>
    <mergeCell ref="AJ14:AK14"/>
    <mergeCell ref="AJ15:AK15"/>
    <mergeCell ref="AJ16:AK16"/>
    <mergeCell ref="AJ17:AK17"/>
    <mergeCell ref="AJ18:AK18"/>
    <mergeCell ref="AJ19:AK19"/>
    <mergeCell ref="AJ8:AK8"/>
    <mergeCell ref="AJ9:AK9"/>
    <mergeCell ref="AJ10:AK10"/>
    <mergeCell ref="AJ11:AK11"/>
    <mergeCell ref="AJ12:AK12"/>
    <mergeCell ref="AJ13:AK13"/>
  </mergeCells>
  <conditionalFormatting sqref="A137:A144 B120:B121 B106 B103:B104 B100:B101 B88:B89 A34:A45 B114:B115 A50:A101 AE46:AK49 A103:A122 A46:B47 A49:B49 A48 A124:A135 AM46:AO49 AQ46:XFD49">
    <cfRule type="duplicateValues" dxfId="5" priority="57"/>
  </conditionalFormatting>
  <conditionalFormatting sqref="A137:A147 A22:A45 A50:A101 B50:B134 AE46:AK49 B7:B45 A103:A122 A46:B47 A49:B49 A48 A124:A135 B137:B146 AM46:AO49 AQ46:XFD49">
    <cfRule type="duplicateValues" dxfId="4" priority="73"/>
  </conditionalFormatting>
  <conditionalFormatting sqref="B115">
    <cfRule type="duplicateValues" dxfId="3" priority="3"/>
  </conditionalFormatting>
  <conditionalFormatting sqref="B138 AN97 B133:B134 B130:B131 B128 B125:B126 A30:A45 A50:A101 AE46:AK49 A103:A122 A46:B47 A49:B49 A48 A137:A145 A124:A135 AM46:AO49 AQ46:XFD49">
    <cfRule type="duplicateValues" dxfId="2" priority="41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4F70A7C9-8E33-4A58-B7CD-4C49D2E0729B}">
            <xm:f>NOT(ISERROR(SEARCH($J$98,B139)))</xm:f>
            <xm:f>$J$98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B139</xm:sqref>
        </x14:conditionalFormatting>
        <x14:conditionalFormatting xmlns:xm="http://schemas.microsoft.com/office/excel/2006/main">
          <x14:cfRule type="containsText" priority="1" operator="containsText" id="{53A9A1CD-310E-4623-ADCB-28F1B900D30C}">
            <xm:f>NOT(ISERROR(SEARCH($J$98,B141)))</xm:f>
            <xm:f>$J$98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B141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Uribe Delpino</dc:creator>
  <cp:lastModifiedBy>Addan saez</cp:lastModifiedBy>
  <dcterms:created xsi:type="dcterms:W3CDTF">2025-09-29T22:30:36Z</dcterms:created>
  <dcterms:modified xsi:type="dcterms:W3CDTF">2025-10-01T01:05:37Z</dcterms:modified>
</cp:coreProperties>
</file>